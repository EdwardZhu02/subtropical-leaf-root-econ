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wardzhu/EdZhu-Drive/Projects_LPICEA_2025/25-RLES-Analysis-GitRepo/rawdata/"/>
    </mc:Choice>
  </mc:AlternateContent>
  <xr:revisionPtr revIDLastSave="0" documentId="13_ncr:1_{FF3C699A-7925-654C-A07F-62118D871C0A}" xr6:coauthVersionLast="47" xr6:coauthVersionMax="47" xr10:uidLastSave="{00000000-0000-0000-0000-000000000000}"/>
  <bookViews>
    <workbookView xWindow="34000" yWindow="1360" windowWidth="30240" windowHeight="17740" xr2:uid="{428A4148-37FA-6D4F-B661-AC052700E17F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G3" i="1"/>
  <c r="H3" i="1"/>
  <c r="E4" i="1"/>
  <c r="F4" i="1"/>
  <c r="G4" i="1"/>
  <c r="H4" i="1"/>
  <c r="E5" i="1"/>
  <c r="F5" i="1"/>
  <c r="G5" i="1"/>
  <c r="H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G44" i="1"/>
  <c r="H44" i="1"/>
  <c r="E45" i="1"/>
  <c r="G45" i="1"/>
  <c r="H45" i="1"/>
  <c r="E46" i="1"/>
  <c r="G46" i="1"/>
  <c r="H46" i="1"/>
  <c r="E47" i="1"/>
  <c r="G47" i="1"/>
  <c r="H47" i="1"/>
  <c r="E48" i="1"/>
  <c r="G48" i="1"/>
  <c r="H48" i="1"/>
  <c r="E49" i="1"/>
  <c r="G49" i="1"/>
  <c r="H49" i="1"/>
  <c r="E50" i="1"/>
  <c r="G50" i="1"/>
  <c r="H50" i="1"/>
  <c r="E51" i="1"/>
  <c r="G51" i="1"/>
  <c r="H51" i="1"/>
  <c r="E52" i="1"/>
  <c r="G52" i="1"/>
  <c r="H52" i="1"/>
  <c r="E53" i="1"/>
  <c r="G53" i="1"/>
  <c r="H53" i="1"/>
  <c r="E54" i="1"/>
  <c r="G54" i="1"/>
  <c r="H54" i="1"/>
  <c r="E55" i="1"/>
  <c r="G55" i="1"/>
  <c r="H55" i="1"/>
  <c r="E56" i="1"/>
  <c r="G56" i="1"/>
  <c r="H56" i="1"/>
  <c r="E57" i="1"/>
  <c r="G57" i="1"/>
  <c r="H57" i="1"/>
  <c r="E58" i="1"/>
  <c r="G58" i="1"/>
  <c r="H58" i="1"/>
  <c r="E59" i="1"/>
  <c r="G59" i="1"/>
  <c r="H59" i="1"/>
  <c r="E60" i="1"/>
  <c r="G60" i="1"/>
  <c r="H60" i="1"/>
  <c r="E61" i="1"/>
  <c r="G61" i="1"/>
  <c r="H61" i="1"/>
  <c r="E62" i="1"/>
  <c r="G62" i="1"/>
  <c r="H62" i="1"/>
  <c r="E63" i="1"/>
  <c r="G63" i="1"/>
  <c r="H63" i="1"/>
  <c r="E64" i="1"/>
  <c r="G64" i="1"/>
  <c r="H64" i="1"/>
  <c r="E65" i="1"/>
  <c r="G65" i="1"/>
  <c r="H65" i="1"/>
  <c r="E66" i="1"/>
  <c r="G66" i="1"/>
  <c r="H66" i="1"/>
  <c r="E67" i="1"/>
  <c r="G67" i="1"/>
  <c r="H67" i="1"/>
  <c r="E68" i="1"/>
  <c r="G68" i="1"/>
  <c r="H68" i="1"/>
  <c r="E69" i="1"/>
  <c r="G69" i="1"/>
  <c r="H69" i="1"/>
  <c r="E70" i="1"/>
  <c r="G70" i="1"/>
  <c r="H70" i="1"/>
  <c r="E71" i="1"/>
  <c r="G71" i="1"/>
  <c r="H71" i="1"/>
  <c r="E72" i="1"/>
  <c r="G72" i="1"/>
  <c r="H72" i="1"/>
  <c r="E73" i="1"/>
  <c r="G73" i="1"/>
  <c r="H73" i="1"/>
  <c r="E74" i="1"/>
  <c r="G74" i="1"/>
  <c r="H74" i="1"/>
  <c r="E75" i="1"/>
  <c r="G75" i="1"/>
  <c r="H75" i="1"/>
  <c r="E76" i="1"/>
  <c r="G76" i="1"/>
  <c r="H76" i="1"/>
  <c r="E77" i="1"/>
  <c r="G77" i="1"/>
  <c r="H77" i="1"/>
  <c r="E78" i="1"/>
  <c r="G78" i="1"/>
  <c r="H78" i="1"/>
  <c r="E79" i="1"/>
  <c r="G79" i="1"/>
  <c r="H79" i="1"/>
  <c r="E80" i="1"/>
  <c r="G80" i="1"/>
  <c r="H80" i="1"/>
  <c r="E81" i="1"/>
  <c r="G81" i="1"/>
  <c r="H81" i="1"/>
  <c r="E82" i="1"/>
  <c r="G82" i="1"/>
  <c r="H82" i="1"/>
  <c r="E83" i="1"/>
  <c r="G83" i="1"/>
  <c r="H83" i="1"/>
  <c r="E84" i="1"/>
  <c r="G84" i="1"/>
  <c r="H84" i="1"/>
  <c r="E85" i="1"/>
  <c r="G85" i="1"/>
  <c r="H85" i="1"/>
  <c r="E86" i="1"/>
  <c r="G86" i="1"/>
  <c r="H86" i="1"/>
  <c r="E87" i="1"/>
  <c r="G87" i="1"/>
  <c r="H87" i="1"/>
  <c r="E88" i="1"/>
  <c r="G88" i="1"/>
  <c r="H88" i="1"/>
  <c r="E89" i="1"/>
  <c r="G89" i="1"/>
  <c r="H89" i="1"/>
  <c r="S89" i="1"/>
  <c r="R89" i="1"/>
  <c r="Q89" i="1"/>
  <c r="P89" i="1"/>
  <c r="O89" i="1"/>
  <c r="N89" i="1"/>
  <c r="M89" i="1"/>
  <c r="L89" i="1"/>
  <c r="K89" i="1"/>
  <c r="J89" i="1"/>
  <c r="I89" i="1"/>
  <c r="S88" i="1"/>
  <c r="R88" i="1"/>
  <c r="Q88" i="1"/>
  <c r="P88" i="1"/>
  <c r="O88" i="1"/>
  <c r="N88" i="1"/>
  <c r="M88" i="1"/>
  <c r="L88" i="1"/>
  <c r="K88" i="1"/>
  <c r="J88" i="1"/>
  <c r="I88" i="1"/>
  <c r="S87" i="1"/>
  <c r="R87" i="1"/>
  <c r="Q87" i="1"/>
  <c r="P87" i="1"/>
  <c r="O87" i="1"/>
  <c r="N87" i="1"/>
  <c r="M87" i="1"/>
  <c r="L87" i="1"/>
  <c r="K87" i="1"/>
  <c r="J87" i="1"/>
  <c r="I87" i="1"/>
  <c r="S86" i="1"/>
  <c r="R86" i="1"/>
  <c r="Q86" i="1"/>
  <c r="P86" i="1"/>
  <c r="O86" i="1"/>
  <c r="N86" i="1"/>
  <c r="M86" i="1"/>
  <c r="L86" i="1"/>
  <c r="K86" i="1"/>
  <c r="J86" i="1"/>
  <c r="I86" i="1"/>
  <c r="S85" i="1"/>
  <c r="R85" i="1"/>
  <c r="Q85" i="1"/>
  <c r="P85" i="1"/>
  <c r="O85" i="1"/>
  <c r="N85" i="1"/>
  <c r="M85" i="1"/>
  <c r="L85" i="1"/>
  <c r="K85" i="1"/>
  <c r="J85" i="1"/>
  <c r="I85" i="1"/>
  <c r="S84" i="1"/>
  <c r="R84" i="1"/>
  <c r="Q84" i="1"/>
  <c r="P84" i="1"/>
  <c r="O84" i="1"/>
  <c r="N84" i="1"/>
  <c r="M84" i="1"/>
  <c r="L84" i="1"/>
  <c r="K84" i="1"/>
  <c r="J84" i="1"/>
  <c r="I84" i="1"/>
  <c r="S83" i="1"/>
  <c r="R83" i="1"/>
  <c r="Q83" i="1"/>
  <c r="P83" i="1"/>
  <c r="O83" i="1"/>
  <c r="N83" i="1"/>
  <c r="M83" i="1"/>
  <c r="L83" i="1"/>
  <c r="K83" i="1"/>
  <c r="J83" i="1"/>
  <c r="I83" i="1"/>
  <c r="S82" i="1"/>
  <c r="R82" i="1"/>
  <c r="Q82" i="1"/>
  <c r="P82" i="1"/>
  <c r="O82" i="1"/>
  <c r="N82" i="1"/>
  <c r="M82" i="1"/>
  <c r="L82" i="1"/>
  <c r="K82" i="1"/>
  <c r="J82" i="1"/>
  <c r="I82" i="1"/>
  <c r="S81" i="1"/>
  <c r="R81" i="1"/>
  <c r="Q81" i="1"/>
  <c r="P81" i="1"/>
  <c r="O81" i="1"/>
  <c r="N81" i="1"/>
  <c r="M81" i="1"/>
  <c r="L81" i="1"/>
  <c r="K81" i="1"/>
  <c r="J81" i="1"/>
  <c r="I81" i="1"/>
  <c r="S80" i="1"/>
  <c r="R80" i="1"/>
  <c r="Q80" i="1"/>
  <c r="P80" i="1"/>
  <c r="O80" i="1"/>
  <c r="N80" i="1"/>
  <c r="M80" i="1"/>
  <c r="L80" i="1"/>
  <c r="K80" i="1"/>
  <c r="J80" i="1"/>
  <c r="I80" i="1"/>
  <c r="S79" i="1"/>
  <c r="R79" i="1"/>
  <c r="Q79" i="1"/>
  <c r="P79" i="1"/>
  <c r="O79" i="1"/>
  <c r="N79" i="1"/>
  <c r="M79" i="1"/>
  <c r="L79" i="1"/>
  <c r="K79" i="1"/>
  <c r="J79" i="1"/>
  <c r="I79" i="1"/>
  <c r="S78" i="1"/>
  <c r="R78" i="1"/>
  <c r="Q78" i="1"/>
  <c r="P78" i="1"/>
  <c r="O78" i="1"/>
  <c r="N78" i="1"/>
  <c r="M78" i="1"/>
  <c r="L78" i="1"/>
  <c r="K78" i="1"/>
  <c r="J78" i="1"/>
  <c r="I78" i="1"/>
  <c r="S77" i="1"/>
  <c r="R77" i="1"/>
  <c r="Q77" i="1"/>
  <c r="P77" i="1"/>
  <c r="O77" i="1"/>
  <c r="N77" i="1"/>
  <c r="M77" i="1"/>
  <c r="L77" i="1"/>
  <c r="K77" i="1"/>
  <c r="J77" i="1"/>
  <c r="I77" i="1"/>
  <c r="S76" i="1"/>
  <c r="R76" i="1"/>
  <c r="Q76" i="1"/>
  <c r="P76" i="1"/>
  <c r="O76" i="1"/>
  <c r="N76" i="1"/>
  <c r="M76" i="1"/>
  <c r="L76" i="1"/>
  <c r="K76" i="1"/>
  <c r="J76" i="1"/>
  <c r="I76" i="1"/>
  <c r="S75" i="1"/>
  <c r="R75" i="1"/>
  <c r="Q75" i="1"/>
  <c r="P75" i="1"/>
  <c r="O75" i="1"/>
  <c r="N75" i="1"/>
  <c r="M75" i="1"/>
  <c r="L75" i="1"/>
  <c r="K75" i="1"/>
  <c r="J75" i="1"/>
  <c r="I75" i="1"/>
  <c r="S74" i="1"/>
  <c r="R74" i="1"/>
  <c r="Q74" i="1"/>
  <c r="P74" i="1"/>
  <c r="O74" i="1"/>
  <c r="N74" i="1"/>
  <c r="M74" i="1"/>
  <c r="L74" i="1"/>
  <c r="K74" i="1"/>
  <c r="J74" i="1"/>
  <c r="I74" i="1"/>
  <c r="S73" i="1"/>
  <c r="R73" i="1"/>
  <c r="Q73" i="1"/>
  <c r="P73" i="1"/>
  <c r="O73" i="1"/>
  <c r="N73" i="1"/>
  <c r="M73" i="1"/>
  <c r="L73" i="1"/>
  <c r="K73" i="1"/>
  <c r="J73" i="1"/>
  <c r="I73" i="1"/>
  <c r="S72" i="1"/>
  <c r="R72" i="1"/>
  <c r="Q72" i="1"/>
  <c r="P72" i="1"/>
  <c r="O72" i="1"/>
  <c r="N72" i="1"/>
  <c r="M72" i="1"/>
  <c r="L72" i="1"/>
  <c r="K72" i="1"/>
  <c r="J72" i="1"/>
  <c r="I72" i="1"/>
  <c r="S71" i="1"/>
  <c r="R71" i="1"/>
  <c r="Q71" i="1"/>
  <c r="P71" i="1"/>
  <c r="O71" i="1"/>
  <c r="N71" i="1"/>
  <c r="M71" i="1"/>
  <c r="L71" i="1"/>
  <c r="K71" i="1"/>
  <c r="J71" i="1"/>
  <c r="I71" i="1"/>
  <c r="S70" i="1"/>
  <c r="R70" i="1"/>
  <c r="Q70" i="1"/>
  <c r="P70" i="1"/>
  <c r="O70" i="1"/>
  <c r="N70" i="1"/>
  <c r="M70" i="1"/>
  <c r="L70" i="1"/>
  <c r="K70" i="1"/>
  <c r="J70" i="1"/>
  <c r="I70" i="1"/>
  <c r="S69" i="1"/>
  <c r="R69" i="1"/>
  <c r="Q69" i="1"/>
  <c r="P69" i="1"/>
  <c r="O69" i="1"/>
  <c r="N69" i="1"/>
  <c r="M69" i="1"/>
  <c r="L69" i="1"/>
  <c r="K69" i="1"/>
  <c r="J69" i="1"/>
  <c r="I69" i="1"/>
  <c r="S68" i="1"/>
  <c r="R68" i="1"/>
  <c r="Q68" i="1"/>
  <c r="P68" i="1"/>
  <c r="O68" i="1"/>
  <c r="N68" i="1"/>
  <c r="M68" i="1"/>
  <c r="L68" i="1"/>
  <c r="K68" i="1"/>
  <c r="J68" i="1"/>
  <c r="I68" i="1"/>
  <c r="S67" i="1"/>
  <c r="R67" i="1"/>
  <c r="Q67" i="1"/>
  <c r="P67" i="1"/>
  <c r="O67" i="1"/>
  <c r="N67" i="1"/>
  <c r="M67" i="1"/>
  <c r="L67" i="1"/>
  <c r="K67" i="1"/>
  <c r="J67" i="1"/>
  <c r="I67" i="1"/>
  <c r="S66" i="1"/>
  <c r="R66" i="1"/>
  <c r="Q66" i="1"/>
  <c r="P66" i="1"/>
  <c r="O66" i="1"/>
  <c r="N66" i="1"/>
  <c r="M66" i="1"/>
  <c r="L66" i="1"/>
  <c r="K66" i="1"/>
  <c r="J66" i="1"/>
  <c r="I66" i="1"/>
  <c r="S65" i="1"/>
  <c r="R65" i="1"/>
  <c r="Q65" i="1"/>
  <c r="P65" i="1"/>
  <c r="O65" i="1"/>
  <c r="N65" i="1"/>
  <c r="M65" i="1"/>
  <c r="L65" i="1"/>
  <c r="K65" i="1"/>
  <c r="J65" i="1"/>
  <c r="I65" i="1"/>
  <c r="S64" i="1"/>
  <c r="R64" i="1"/>
  <c r="Q64" i="1"/>
  <c r="P64" i="1"/>
  <c r="O64" i="1"/>
  <c r="N64" i="1"/>
  <c r="M64" i="1"/>
  <c r="L64" i="1"/>
  <c r="K64" i="1"/>
  <c r="J64" i="1"/>
  <c r="I64" i="1"/>
  <c r="S63" i="1"/>
  <c r="R63" i="1"/>
  <c r="Q63" i="1"/>
  <c r="P63" i="1"/>
  <c r="O63" i="1"/>
  <c r="N63" i="1"/>
  <c r="M63" i="1"/>
  <c r="L63" i="1"/>
  <c r="K63" i="1"/>
  <c r="J63" i="1"/>
  <c r="I63" i="1"/>
  <c r="S62" i="1"/>
  <c r="R62" i="1"/>
  <c r="Q62" i="1"/>
  <c r="P62" i="1"/>
  <c r="O62" i="1"/>
  <c r="N62" i="1"/>
  <c r="M62" i="1"/>
  <c r="L62" i="1"/>
  <c r="K62" i="1"/>
  <c r="J62" i="1"/>
  <c r="I62" i="1"/>
  <c r="S61" i="1"/>
  <c r="R61" i="1"/>
  <c r="Q61" i="1"/>
  <c r="P61" i="1"/>
  <c r="O61" i="1"/>
  <c r="N61" i="1"/>
  <c r="M61" i="1"/>
  <c r="L61" i="1"/>
  <c r="K61" i="1"/>
  <c r="J61" i="1"/>
  <c r="I61" i="1"/>
  <c r="S60" i="1"/>
  <c r="R60" i="1"/>
  <c r="Q60" i="1"/>
  <c r="P60" i="1"/>
  <c r="O60" i="1"/>
  <c r="N60" i="1"/>
  <c r="M60" i="1"/>
  <c r="L60" i="1"/>
  <c r="K60" i="1"/>
  <c r="J60" i="1"/>
  <c r="I60" i="1"/>
  <c r="S59" i="1"/>
  <c r="R59" i="1"/>
  <c r="Q59" i="1"/>
  <c r="P59" i="1"/>
  <c r="O59" i="1"/>
  <c r="N59" i="1"/>
  <c r="M59" i="1"/>
  <c r="L59" i="1"/>
  <c r="K59" i="1"/>
  <c r="J59" i="1"/>
  <c r="I59" i="1"/>
  <c r="S58" i="1"/>
  <c r="R58" i="1"/>
  <c r="Q58" i="1"/>
  <c r="P58" i="1"/>
  <c r="O58" i="1"/>
  <c r="N58" i="1"/>
  <c r="M58" i="1"/>
  <c r="L58" i="1"/>
  <c r="K58" i="1"/>
  <c r="J58" i="1"/>
  <c r="I58" i="1"/>
  <c r="S57" i="1"/>
  <c r="R57" i="1"/>
  <c r="Q57" i="1"/>
  <c r="P57" i="1"/>
  <c r="O57" i="1"/>
  <c r="N57" i="1"/>
  <c r="M57" i="1"/>
  <c r="L57" i="1"/>
  <c r="K57" i="1"/>
  <c r="J57" i="1"/>
  <c r="I57" i="1"/>
  <c r="S56" i="1"/>
  <c r="R56" i="1"/>
  <c r="Q56" i="1"/>
  <c r="P56" i="1"/>
  <c r="O56" i="1"/>
  <c r="N56" i="1"/>
  <c r="M56" i="1"/>
  <c r="L56" i="1"/>
  <c r="K56" i="1"/>
  <c r="J56" i="1"/>
  <c r="I56" i="1"/>
  <c r="S55" i="1"/>
  <c r="R55" i="1"/>
  <c r="Q55" i="1"/>
  <c r="P55" i="1"/>
  <c r="O55" i="1"/>
  <c r="N55" i="1"/>
  <c r="M55" i="1"/>
  <c r="L55" i="1"/>
  <c r="K55" i="1"/>
  <c r="J55" i="1"/>
  <c r="I55" i="1"/>
  <c r="S54" i="1"/>
  <c r="R54" i="1"/>
  <c r="Q54" i="1"/>
  <c r="P54" i="1"/>
  <c r="O54" i="1"/>
  <c r="N54" i="1"/>
  <c r="M54" i="1"/>
  <c r="L54" i="1"/>
  <c r="K54" i="1"/>
  <c r="J54" i="1"/>
  <c r="I54" i="1"/>
  <c r="S53" i="1"/>
  <c r="R53" i="1"/>
  <c r="Q53" i="1"/>
  <c r="P53" i="1"/>
  <c r="O53" i="1"/>
  <c r="N53" i="1"/>
  <c r="M53" i="1"/>
  <c r="L53" i="1"/>
  <c r="K53" i="1"/>
  <c r="J53" i="1"/>
  <c r="I53" i="1"/>
  <c r="S52" i="1"/>
  <c r="R52" i="1"/>
  <c r="Q52" i="1"/>
  <c r="P52" i="1"/>
  <c r="O52" i="1"/>
  <c r="N52" i="1"/>
  <c r="M52" i="1"/>
  <c r="L52" i="1"/>
  <c r="K52" i="1"/>
  <c r="J52" i="1"/>
  <c r="I52" i="1"/>
  <c r="S51" i="1"/>
  <c r="R51" i="1"/>
  <c r="Q51" i="1"/>
  <c r="P51" i="1"/>
  <c r="O51" i="1"/>
  <c r="N51" i="1"/>
  <c r="M51" i="1"/>
  <c r="L51" i="1"/>
  <c r="K51" i="1"/>
  <c r="J51" i="1"/>
  <c r="I51" i="1"/>
  <c r="S50" i="1"/>
  <c r="R50" i="1"/>
  <c r="Q50" i="1"/>
  <c r="P50" i="1"/>
  <c r="O50" i="1"/>
  <c r="N50" i="1"/>
  <c r="M50" i="1"/>
  <c r="L50" i="1"/>
  <c r="K50" i="1"/>
  <c r="J50" i="1"/>
  <c r="I50" i="1"/>
  <c r="S49" i="1"/>
  <c r="R49" i="1"/>
  <c r="Q49" i="1"/>
  <c r="P49" i="1"/>
  <c r="O49" i="1"/>
  <c r="N49" i="1"/>
  <c r="M49" i="1"/>
  <c r="L49" i="1"/>
  <c r="K49" i="1"/>
  <c r="J49" i="1"/>
  <c r="I49" i="1"/>
  <c r="S48" i="1"/>
  <c r="R48" i="1"/>
  <c r="Q48" i="1"/>
  <c r="P48" i="1"/>
  <c r="O48" i="1"/>
  <c r="N48" i="1"/>
  <c r="M48" i="1"/>
  <c r="L48" i="1"/>
  <c r="K48" i="1"/>
  <c r="J48" i="1"/>
  <c r="I48" i="1"/>
  <c r="S47" i="1"/>
  <c r="R47" i="1"/>
  <c r="Q47" i="1"/>
  <c r="P47" i="1"/>
  <c r="O47" i="1"/>
  <c r="N47" i="1"/>
  <c r="M47" i="1"/>
  <c r="L47" i="1"/>
  <c r="K47" i="1"/>
  <c r="J47" i="1"/>
  <c r="I47" i="1"/>
  <c r="S46" i="1"/>
  <c r="R46" i="1"/>
  <c r="Q46" i="1"/>
  <c r="P46" i="1"/>
  <c r="O46" i="1"/>
  <c r="N46" i="1"/>
  <c r="M46" i="1"/>
  <c r="L46" i="1"/>
  <c r="K46" i="1"/>
  <c r="J46" i="1"/>
  <c r="I46" i="1"/>
  <c r="S45" i="1"/>
  <c r="R45" i="1"/>
  <c r="Q45" i="1"/>
  <c r="P45" i="1"/>
  <c r="O45" i="1"/>
  <c r="N45" i="1"/>
  <c r="M45" i="1"/>
  <c r="L45" i="1"/>
  <c r="K45" i="1"/>
  <c r="J45" i="1"/>
  <c r="I45" i="1"/>
  <c r="S44" i="1"/>
  <c r="R44" i="1"/>
  <c r="Q44" i="1"/>
  <c r="P44" i="1"/>
  <c r="O44" i="1"/>
  <c r="N44" i="1"/>
  <c r="M44" i="1"/>
  <c r="L44" i="1"/>
  <c r="K44" i="1"/>
  <c r="J44" i="1"/>
  <c r="I44" i="1"/>
  <c r="S43" i="1"/>
  <c r="R43" i="1"/>
  <c r="Q43" i="1"/>
  <c r="P43" i="1"/>
  <c r="O43" i="1"/>
  <c r="N43" i="1"/>
  <c r="M43" i="1"/>
  <c r="L43" i="1"/>
  <c r="K43" i="1"/>
  <c r="J43" i="1"/>
  <c r="I43" i="1"/>
  <c r="S42" i="1"/>
  <c r="R42" i="1"/>
  <c r="Q42" i="1"/>
  <c r="P42" i="1"/>
  <c r="O42" i="1"/>
  <c r="N42" i="1"/>
  <c r="M42" i="1"/>
  <c r="L42" i="1"/>
  <c r="K42" i="1"/>
  <c r="J42" i="1"/>
  <c r="I42" i="1"/>
  <c r="S41" i="1"/>
  <c r="R41" i="1"/>
  <c r="Q41" i="1"/>
  <c r="P41" i="1"/>
  <c r="O41" i="1"/>
  <c r="N41" i="1"/>
  <c r="M41" i="1"/>
  <c r="L41" i="1"/>
  <c r="K41" i="1"/>
  <c r="J41" i="1"/>
  <c r="I41" i="1"/>
  <c r="S40" i="1"/>
  <c r="R40" i="1"/>
  <c r="Q40" i="1"/>
  <c r="P40" i="1"/>
  <c r="O40" i="1"/>
  <c r="N40" i="1"/>
  <c r="M40" i="1"/>
  <c r="L40" i="1"/>
  <c r="K40" i="1"/>
  <c r="J40" i="1"/>
  <c r="I40" i="1"/>
  <c r="S39" i="1"/>
  <c r="R39" i="1"/>
  <c r="Q39" i="1"/>
  <c r="P39" i="1"/>
  <c r="O39" i="1"/>
  <c r="N39" i="1"/>
  <c r="M39" i="1"/>
  <c r="L39" i="1"/>
  <c r="K39" i="1"/>
  <c r="J39" i="1"/>
  <c r="I39" i="1"/>
  <c r="S38" i="1"/>
  <c r="R38" i="1"/>
  <c r="Q38" i="1"/>
  <c r="P38" i="1"/>
  <c r="O38" i="1"/>
  <c r="N38" i="1"/>
  <c r="M38" i="1"/>
  <c r="L38" i="1"/>
  <c r="K38" i="1"/>
  <c r="J38" i="1"/>
  <c r="I38" i="1"/>
  <c r="S37" i="1"/>
  <c r="R37" i="1"/>
  <c r="Q37" i="1"/>
  <c r="P37" i="1"/>
  <c r="O37" i="1"/>
  <c r="N37" i="1"/>
  <c r="M37" i="1"/>
  <c r="L37" i="1"/>
  <c r="K37" i="1"/>
  <c r="J37" i="1"/>
  <c r="I37" i="1"/>
  <c r="S36" i="1"/>
  <c r="R36" i="1"/>
  <c r="Q36" i="1"/>
  <c r="P36" i="1"/>
  <c r="O36" i="1"/>
  <c r="N36" i="1"/>
  <c r="M36" i="1"/>
  <c r="L36" i="1"/>
  <c r="K36" i="1"/>
  <c r="J36" i="1"/>
  <c r="I36" i="1"/>
  <c r="S35" i="1"/>
  <c r="R35" i="1"/>
  <c r="Q35" i="1"/>
  <c r="P35" i="1"/>
  <c r="O35" i="1"/>
  <c r="N35" i="1"/>
  <c r="M35" i="1"/>
  <c r="L35" i="1"/>
  <c r="K35" i="1"/>
  <c r="J35" i="1"/>
  <c r="I35" i="1"/>
  <c r="S34" i="1"/>
  <c r="R34" i="1"/>
  <c r="Q34" i="1"/>
  <c r="P34" i="1"/>
  <c r="O34" i="1"/>
  <c r="N34" i="1"/>
  <c r="M34" i="1"/>
  <c r="L34" i="1"/>
  <c r="K34" i="1"/>
  <c r="J34" i="1"/>
  <c r="I34" i="1"/>
  <c r="S33" i="1"/>
  <c r="R33" i="1"/>
  <c r="Q33" i="1"/>
  <c r="P33" i="1"/>
  <c r="O33" i="1"/>
  <c r="N33" i="1"/>
  <c r="M33" i="1"/>
  <c r="L33" i="1"/>
  <c r="K33" i="1"/>
  <c r="J33" i="1"/>
  <c r="I33" i="1"/>
  <c r="S32" i="1"/>
  <c r="R32" i="1"/>
  <c r="Q32" i="1"/>
  <c r="P32" i="1"/>
  <c r="O32" i="1"/>
  <c r="N32" i="1"/>
  <c r="M32" i="1"/>
  <c r="L32" i="1"/>
  <c r="K32" i="1"/>
  <c r="J32" i="1"/>
  <c r="I32" i="1"/>
  <c r="S31" i="1"/>
  <c r="R31" i="1"/>
  <c r="Q31" i="1"/>
  <c r="P31" i="1"/>
  <c r="O31" i="1"/>
  <c r="N31" i="1"/>
  <c r="M31" i="1"/>
  <c r="L31" i="1"/>
  <c r="K31" i="1"/>
  <c r="J31" i="1"/>
  <c r="I31" i="1"/>
  <c r="S30" i="1"/>
  <c r="R30" i="1"/>
  <c r="Q30" i="1"/>
  <c r="P30" i="1"/>
  <c r="O30" i="1"/>
  <c r="N30" i="1"/>
  <c r="M30" i="1"/>
  <c r="L30" i="1"/>
  <c r="K30" i="1"/>
  <c r="J30" i="1"/>
  <c r="I30" i="1"/>
  <c r="S29" i="1"/>
  <c r="R29" i="1"/>
  <c r="Q29" i="1"/>
  <c r="P29" i="1"/>
  <c r="O29" i="1"/>
  <c r="N29" i="1"/>
  <c r="M29" i="1"/>
  <c r="L29" i="1"/>
  <c r="K29" i="1"/>
  <c r="J29" i="1"/>
  <c r="I29" i="1"/>
  <c r="S28" i="1"/>
  <c r="R28" i="1"/>
  <c r="Q28" i="1"/>
  <c r="P28" i="1"/>
  <c r="O28" i="1"/>
  <c r="N28" i="1"/>
  <c r="M28" i="1"/>
  <c r="L28" i="1"/>
  <c r="K28" i="1"/>
  <c r="J28" i="1"/>
  <c r="I28" i="1"/>
  <c r="S27" i="1"/>
  <c r="R27" i="1"/>
  <c r="Q27" i="1"/>
  <c r="P27" i="1"/>
  <c r="O27" i="1"/>
  <c r="N27" i="1"/>
  <c r="M27" i="1"/>
  <c r="L27" i="1"/>
  <c r="K27" i="1"/>
  <c r="J27" i="1"/>
  <c r="I27" i="1"/>
  <c r="S26" i="1"/>
  <c r="R26" i="1"/>
  <c r="Q26" i="1"/>
  <c r="P26" i="1"/>
  <c r="O26" i="1"/>
  <c r="N26" i="1"/>
  <c r="M26" i="1"/>
  <c r="L26" i="1"/>
  <c r="K26" i="1"/>
  <c r="J26" i="1"/>
  <c r="I26" i="1"/>
  <c r="S25" i="1"/>
  <c r="R25" i="1"/>
  <c r="Q25" i="1"/>
  <c r="P25" i="1"/>
  <c r="O25" i="1"/>
  <c r="N25" i="1"/>
  <c r="M25" i="1"/>
  <c r="L25" i="1"/>
  <c r="K25" i="1"/>
  <c r="J25" i="1"/>
  <c r="I25" i="1"/>
  <c r="S24" i="1"/>
  <c r="R24" i="1"/>
  <c r="Q24" i="1"/>
  <c r="P24" i="1"/>
  <c r="O24" i="1"/>
  <c r="N24" i="1"/>
  <c r="M24" i="1"/>
  <c r="L24" i="1"/>
  <c r="K24" i="1"/>
  <c r="J24" i="1"/>
  <c r="I24" i="1"/>
  <c r="S23" i="1"/>
  <c r="R23" i="1"/>
  <c r="Q23" i="1"/>
  <c r="P23" i="1"/>
  <c r="O23" i="1"/>
  <c r="N23" i="1"/>
  <c r="M23" i="1"/>
  <c r="L23" i="1"/>
  <c r="K23" i="1"/>
  <c r="J23" i="1"/>
  <c r="I23" i="1"/>
  <c r="S22" i="1"/>
  <c r="R22" i="1"/>
  <c r="Q22" i="1"/>
  <c r="P22" i="1"/>
  <c r="O22" i="1"/>
  <c r="N22" i="1"/>
  <c r="M22" i="1"/>
  <c r="L22" i="1"/>
  <c r="K22" i="1"/>
  <c r="J22" i="1"/>
  <c r="I22" i="1"/>
  <c r="S21" i="1"/>
  <c r="R21" i="1"/>
  <c r="Q21" i="1"/>
  <c r="P21" i="1"/>
  <c r="O21" i="1"/>
  <c r="N21" i="1"/>
  <c r="M21" i="1"/>
  <c r="L21" i="1"/>
  <c r="K21" i="1"/>
  <c r="J21" i="1"/>
  <c r="I21" i="1"/>
  <c r="S20" i="1"/>
  <c r="R20" i="1"/>
  <c r="Q20" i="1"/>
  <c r="P20" i="1"/>
  <c r="O20" i="1"/>
  <c r="N20" i="1"/>
  <c r="M20" i="1"/>
  <c r="L20" i="1"/>
  <c r="K20" i="1"/>
  <c r="J20" i="1"/>
  <c r="I20" i="1"/>
  <c r="S19" i="1"/>
  <c r="R19" i="1"/>
  <c r="Q19" i="1"/>
  <c r="P19" i="1"/>
  <c r="O19" i="1"/>
  <c r="N19" i="1"/>
  <c r="M19" i="1"/>
  <c r="L19" i="1"/>
  <c r="K19" i="1"/>
  <c r="J19" i="1"/>
  <c r="I19" i="1"/>
  <c r="S18" i="1"/>
  <c r="R18" i="1"/>
  <c r="Q18" i="1"/>
  <c r="P18" i="1"/>
  <c r="O18" i="1"/>
  <c r="N18" i="1"/>
  <c r="M18" i="1"/>
  <c r="L18" i="1"/>
  <c r="K18" i="1"/>
  <c r="J18" i="1"/>
  <c r="I18" i="1"/>
  <c r="S17" i="1"/>
  <c r="R17" i="1"/>
  <c r="Q17" i="1"/>
  <c r="P17" i="1"/>
  <c r="O17" i="1"/>
  <c r="N17" i="1"/>
  <c r="M17" i="1"/>
  <c r="L17" i="1"/>
  <c r="K17" i="1"/>
  <c r="J17" i="1"/>
  <c r="I17" i="1"/>
  <c r="S16" i="1"/>
  <c r="R16" i="1"/>
  <c r="Q16" i="1"/>
  <c r="P16" i="1"/>
  <c r="O16" i="1"/>
  <c r="N16" i="1"/>
  <c r="M16" i="1"/>
  <c r="L16" i="1"/>
  <c r="K16" i="1"/>
  <c r="J16" i="1"/>
  <c r="I16" i="1"/>
  <c r="S15" i="1"/>
  <c r="R15" i="1"/>
  <c r="Q15" i="1"/>
  <c r="P15" i="1"/>
  <c r="O15" i="1"/>
  <c r="N15" i="1"/>
  <c r="M15" i="1"/>
  <c r="L15" i="1"/>
  <c r="K15" i="1"/>
  <c r="J15" i="1"/>
  <c r="I15" i="1"/>
  <c r="S14" i="1"/>
  <c r="R14" i="1"/>
  <c r="Q14" i="1"/>
  <c r="P14" i="1"/>
  <c r="O14" i="1"/>
  <c r="N14" i="1"/>
  <c r="M14" i="1"/>
  <c r="L14" i="1"/>
  <c r="K14" i="1"/>
  <c r="J14" i="1"/>
  <c r="I14" i="1"/>
  <c r="S13" i="1"/>
  <c r="R13" i="1"/>
  <c r="Q13" i="1"/>
  <c r="P13" i="1"/>
  <c r="O13" i="1"/>
  <c r="N13" i="1"/>
  <c r="M13" i="1"/>
  <c r="L13" i="1"/>
  <c r="K13" i="1"/>
  <c r="J13" i="1"/>
  <c r="I13" i="1"/>
  <c r="S12" i="1"/>
  <c r="R12" i="1"/>
  <c r="Q12" i="1"/>
  <c r="P12" i="1"/>
  <c r="O12" i="1"/>
  <c r="N12" i="1"/>
  <c r="M12" i="1"/>
  <c r="L12" i="1"/>
  <c r="K12" i="1"/>
  <c r="J12" i="1"/>
  <c r="I12" i="1"/>
  <c r="S11" i="1"/>
  <c r="R11" i="1"/>
  <c r="Q11" i="1"/>
  <c r="P11" i="1"/>
  <c r="O11" i="1"/>
  <c r="N11" i="1"/>
  <c r="M11" i="1"/>
  <c r="L11" i="1"/>
  <c r="K11" i="1"/>
  <c r="J11" i="1"/>
  <c r="I11" i="1"/>
  <c r="S10" i="1"/>
  <c r="R10" i="1"/>
  <c r="Q10" i="1"/>
  <c r="P10" i="1"/>
  <c r="O10" i="1"/>
  <c r="N10" i="1"/>
  <c r="M10" i="1"/>
  <c r="L10" i="1"/>
  <c r="K10" i="1"/>
  <c r="J10" i="1"/>
  <c r="I10" i="1"/>
  <c r="S9" i="1"/>
  <c r="R9" i="1"/>
  <c r="Q9" i="1"/>
  <c r="P9" i="1"/>
  <c r="O9" i="1"/>
  <c r="N9" i="1"/>
  <c r="M9" i="1"/>
  <c r="L9" i="1"/>
  <c r="K9" i="1"/>
  <c r="J9" i="1"/>
  <c r="I9" i="1"/>
  <c r="S8" i="1"/>
  <c r="R8" i="1"/>
  <c r="Q8" i="1"/>
  <c r="P8" i="1"/>
  <c r="O8" i="1"/>
  <c r="N8" i="1"/>
  <c r="M8" i="1"/>
  <c r="L8" i="1"/>
  <c r="K8" i="1"/>
  <c r="J8" i="1"/>
  <c r="I8" i="1"/>
  <c r="S7" i="1"/>
  <c r="R7" i="1"/>
  <c r="Q7" i="1"/>
  <c r="P7" i="1"/>
  <c r="O7" i="1"/>
  <c r="N7" i="1"/>
  <c r="M7" i="1"/>
  <c r="L7" i="1"/>
  <c r="K7" i="1"/>
  <c r="J7" i="1"/>
  <c r="I7" i="1"/>
  <c r="S6" i="1"/>
  <c r="R6" i="1"/>
  <c r="Q6" i="1"/>
  <c r="P6" i="1"/>
  <c r="O6" i="1"/>
  <c r="N6" i="1"/>
  <c r="M6" i="1"/>
  <c r="L6" i="1"/>
  <c r="K6" i="1"/>
  <c r="J6" i="1"/>
  <c r="I6" i="1"/>
  <c r="S5" i="1"/>
  <c r="R5" i="1"/>
  <c r="Q5" i="1"/>
  <c r="P5" i="1"/>
  <c r="O5" i="1"/>
  <c r="N5" i="1"/>
  <c r="M5" i="1"/>
  <c r="L5" i="1"/>
  <c r="K5" i="1"/>
  <c r="J5" i="1"/>
  <c r="I5" i="1"/>
  <c r="S4" i="1"/>
  <c r="R4" i="1"/>
  <c r="Q4" i="1"/>
  <c r="P4" i="1"/>
  <c r="O4" i="1"/>
  <c r="N4" i="1"/>
  <c r="M4" i="1"/>
  <c r="L4" i="1"/>
  <c r="K4" i="1"/>
  <c r="J4" i="1"/>
  <c r="I4" i="1"/>
  <c r="S3" i="1"/>
  <c r="R3" i="1"/>
  <c r="Q3" i="1"/>
  <c r="P3" i="1"/>
  <c r="O3" i="1"/>
  <c r="N3" i="1"/>
  <c r="M3" i="1"/>
  <c r="L3" i="1"/>
  <c r="K3" i="1"/>
  <c r="J3" i="1"/>
  <c r="I3" i="1"/>
</calcChain>
</file>

<file path=xl/sharedStrings.xml><?xml version="1.0" encoding="utf-8"?>
<sst xmlns="http://schemas.openxmlformats.org/spreadsheetml/2006/main" count="396" uniqueCount="234">
  <si>
    <t>SampleID</t>
    <phoneticPr fontId="0" type="noConversion"/>
  </si>
  <si>
    <t>SpeciesID</t>
    <phoneticPr fontId="0" type="noConversion"/>
  </si>
  <si>
    <t>Specific leaf area (cm2/g)</t>
    <phoneticPr fontId="0" type="noConversion"/>
  </si>
  <si>
    <t>leaf_area(cm2)</t>
  </si>
  <si>
    <t>Tree height (m)</t>
    <phoneticPr fontId="0" type="noConversion"/>
  </si>
  <si>
    <t>Tree diameter at breast height (cm)</t>
    <phoneticPr fontId="0" type="noConversion"/>
  </si>
  <si>
    <t>Root_dry_matter_content (g/g)</t>
    <phoneticPr fontId="0" type="noConversion"/>
  </si>
  <si>
    <t>Specific_root_respiration (nmol/g/s)</t>
    <phoneticPr fontId="0" type="noConversion"/>
  </si>
  <si>
    <t>Specific_root_respiration @ 25 degrees (nmol/g/s)</t>
    <phoneticPr fontId="0" type="noConversion"/>
  </si>
  <si>
    <t>Mean_root_diameter (mm)</t>
    <phoneticPr fontId="0" type="noConversion"/>
  </si>
  <si>
    <t>Specific_root_length (m/g)</t>
  </si>
  <si>
    <t>Specific_root_area (cm2/g)</t>
  </si>
  <si>
    <t>Root_tissue_density (g/cm3)</t>
  </si>
  <si>
    <t>Light saturated net photosynthetic rate</t>
    <phoneticPr fontId="0" type="noConversion"/>
  </si>
  <si>
    <t>Maximum rate of Rubisco activity at 25℃</t>
    <phoneticPr fontId="0" type="noConversion"/>
  </si>
  <si>
    <t xml:space="preserve"> leaf dark respiration rate at 25℃</t>
  </si>
  <si>
    <t xml:space="preserve"> leaf light respiration rate at 25℃</t>
  </si>
  <si>
    <t>SH001A</t>
  </si>
  <si>
    <t>SH001</t>
  </si>
  <si>
    <t>SH001B</t>
  </si>
  <si>
    <t>SH001C</t>
  </si>
  <si>
    <t>SH002A</t>
  </si>
  <si>
    <t>SH002</t>
  </si>
  <si>
    <t>SH002B</t>
  </si>
  <si>
    <t>SH002C</t>
  </si>
  <si>
    <t>SH003A</t>
  </si>
  <si>
    <t>SH003</t>
  </si>
  <si>
    <t>SH003B</t>
  </si>
  <si>
    <t>SH003C</t>
  </si>
  <si>
    <r>
      <t>SH004</t>
    </r>
    <r>
      <rPr>
        <sz val="11"/>
        <color theme="1"/>
        <rFont val="Calibri"/>
        <family val="3"/>
        <charset val="134"/>
        <scheme val="minor"/>
      </rPr>
      <t>A</t>
    </r>
  </si>
  <si>
    <t>SH004</t>
  </si>
  <si>
    <t>SH005A</t>
  </si>
  <si>
    <t>SH005</t>
  </si>
  <si>
    <t>SH005B</t>
  </si>
  <si>
    <t>SH005C</t>
  </si>
  <si>
    <t>SH006A</t>
  </si>
  <si>
    <t>SH006</t>
  </si>
  <si>
    <t>SH006B</t>
  </si>
  <si>
    <t>SH006C</t>
  </si>
  <si>
    <t>SH007A</t>
  </si>
  <si>
    <t>SH007</t>
  </si>
  <si>
    <t>SH007B</t>
  </si>
  <si>
    <t>SH007C</t>
  </si>
  <si>
    <t>SH009A</t>
  </si>
  <si>
    <t>SH009</t>
  </si>
  <si>
    <t>SH009B</t>
  </si>
  <si>
    <t>SH009C</t>
  </si>
  <si>
    <t>SH010A</t>
  </si>
  <si>
    <t>SH010</t>
  </si>
  <si>
    <t>SH010B</t>
  </si>
  <si>
    <t>SH010C</t>
  </si>
  <si>
    <t>SH011A</t>
  </si>
  <si>
    <t>SH011</t>
  </si>
  <si>
    <t>SH011B</t>
  </si>
  <si>
    <t>SH011C</t>
  </si>
  <si>
    <t>SH012A</t>
  </si>
  <si>
    <t>SH012</t>
  </si>
  <si>
    <t>SH012B</t>
  </si>
  <si>
    <t>SH012C</t>
  </si>
  <si>
    <t>SH013A</t>
  </si>
  <si>
    <t>SH013</t>
  </si>
  <si>
    <t>SH013B</t>
  </si>
  <si>
    <t>SH013C</t>
  </si>
  <si>
    <t>SH014A</t>
  </si>
  <si>
    <t>SH014</t>
  </si>
  <si>
    <t>SH021</t>
  </si>
  <si>
    <t>SH022</t>
  </si>
  <si>
    <t>SH023</t>
  </si>
  <si>
    <t>SH024</t>
  </si>
  <si>
    <t>SH025</t>
  </si>
  <si>
    <t>SH026</t>
  </si>
  <si>
    <t>SH027</t>
  </si>
  <si>
    <t>SH028</t>
  </si>
  <si>
    <t>SH029</t>
  </si>
  <si>
    <t>SH030</t>
  </si>
  <si>
    <t>SH032</t>
  </si>
  <si>
    <t>SH033</t>
  </si>
  <si>
    <t>SH034</t>
  </si>
  <si>
    <t>WH901A</t>
  </si>
  <si>
    <t>WH901</t>
  </si>
  <si>
    <t>WH901B</t>
  </si>
  <si>
    <t>WH901C</t>
  </si>
  <si>
    <t>WH902A</t>
  </si>
  <si>
    <t>WH902</t>
  </si>
  <si>
    <t>WH902B</t>
  </si>
  <si>
    <t>WH902C</t>
  </si>
  <si>
    <t>WH903A</t>
  </si>
  <si>
    <t>WH903</t>
  </si>
  <si>
    <t>WH903B</t>
  </si>
  <si>
    <t>WH903C</t>
  </si>
  <si>
    <t>WH904A</t>
  </si>
  <si>
    <t>WH904</t>
  </si>
  <si>
    <t>WH904B</t>
  </si>
  <si>
    <t>WH904C</t>
  </si>
  <si>
    <t>WH905A</t>
  </si>
  <si>
    <t>WH905</t>
  </si>
  <si>
    <t>WH905B</t>
  </si>
  <si>
    <t>WH905C</t>
  </si>
  <si>
    <t>WH906A</t>
  </si>
  <si>
    <t>WH906</t>
  </si>
  <si>
    <t>WH906B</t>
  </si>
  <si>
    <t>WH906C</t>
  </si>
  <si>
    <t>WH907A</t>
  </si>
  <si>
    <t>WH907</t>
  </si>
  <si>
    <t>WH907B</t>
  </si>
  <si>
    <t>WH907C</t>
  </si>
  <si>
    <t>WH908</t>
  </si>
  <si>
    <t>WH909</t>
    <phoneticPr fontId="0" type="noConversion"/>
  </si>
  <si>
    <t>WH909</t>
  </si>
  <si>
    <t>WH910</t>
  </si>
  <si>
    <t>WH911</t>
  </si>
  <si>
    <t>WH912</t>
  </si>
  <si>
    <t>WH913</t>
  </si>
  <si>
    <t>WH921</t>
  </si>
  <si>
    <t>WH922</t>
  </si>
  <si>
    <t>WH923</t>
  </si>
  <si>
    <t>WH924</t>
  </si>
  <si>
    <t>WH925</t>
  </si>
  <si>
    <t>WH926</t>
  </si>
  <si>
    <t>WH927</t>
  </si>
  <si>
    <t>WH928</t>
  </si>
  <si>
    <t>WH929</t>
  </si>
  <si>
    <t>WH930</t>
  </si>
  <si>
    <t>WH931</t>
  </si>
  <si>
    <t>WH932</t>
  </si>
  <si>
    <t xml:space="preserve">SpeciesFullName </t>
  </si>
  <si>
    <t>SpeciesCH</t>
  </si>
  <si>
    <t>SLA</t>
  </si>
  <si>
    <t>LA</t>
  </si>
  <si>
    <t>H</t>
  </si>
  <si>
    <t>DBH</t>
  </si>
  <si>
    <t>RDMC</t>
  </si>
  <si>
    <t>SRR</t>
  </si>
  <si>
    <t>SRR25</t>
  </si>
  <si>
    <t>RD</t>
  </si>
  <si>
    <t>SRL</t>
  </si>
  <si>
    <t>SRA</t>
  </si>
  <si>
    <t>RTD</t>
  </si>
  <si>
    <t>Asat</t>
  </si>
  <si>
    <t>Vcmax25</t>
  </si>
  <si>
    <t>Rdark25</t>
  </si>
  <si>
    <t>Rlight25</t>
  </si>
  <si>
    <t>%</t>
  </si>
  <si>
    <t>mg/g</t>
  </si>
  <si>
    <t>LNC</t>
  </si>
  <si>
    <t>LCC</t>
  </si>
  <si>
    <t>LPC</t>
  </si>
  <si>
    <t>RNC</t>
  </si>
  <si>
    <t>RCC</t>
  </si>
  <si>
    <t>RPC</t>
  </si>
  <si>
    <t>Elaeocarpus sylvestris</t>
  </si>
  <si>
    <t>Itea omeiensis</t>
  </si>
  <si>
    <t xml:space="preserve">峨眉鼠刺 </t>
  </si>
  <si>
    <t>Altingia chinensis</t>
  </si>
  <si>
    <t>Schima superba</t>
  </si>
  <si>
    <t>Castanopsis fargesii</t>
  </si>
  <si>
    <t>Ilex macrocarpa</t>
  </si>
  <si>
    <t>Engelhardia roxburghiana</t>
  </si>
  <si>
    <t>Castanopsis eyrei</t>
  </si>
  <si>
    <t>Castanopsis faberi</t>
  </si>
  <si>
    <t>Triadica cochinchinensis</t>
  </si>
  <si>
    <t>Camphora parthenoxylon</t>
  </si>
  <si>
    <t>Pinus massoniana</t>
  </si>
  <si>
    <t>Cunninghamia lanceolata</t>
  </si>
  <si>
    <t>Syzygium buxifolium</t>
  </si>
  <si>
    <t>Machilus grijsii</t>
  </si>
  <si>
    <t>Rhododendron henryi</t>
  </si>
  <si>
    <t>Adinandra millettii</t>
  </si>
  <si>
    <t>Rhododendron farrerae</t>
  </si>
  <si>
    <t>Eurya loquaiana</t>
  </si>
  <si>
    <t>Lyonia ovalifolia</t>
  </si>
  <si>
    <t>Machilus pauhoi</t>
  </si>
  <si>
    <t>Vaccinium bracteatum</t>
  </si>
  <si>
    <t>Castanopsis fordii</t>
  </si>
  <si>
    <t>Rhaphiolepis indica</t>
  </si>
  <si>
    <t>Sabia discolor</t>
  </si>
  <si>
    <t>Smilax china</t>
  </si>
  <si>
    <t>Neolitsea chui</t>
  </si>
  <si>
    <t>Diospyros morrisiana</t>
  </si>
  <si>
    <t>Litsea elongata</t>
  </si>
  <si>
    <t>Elaeocarpus glabripetalus</t>
  </si>
  <si>
    <t>Styrax confusus</t>
  </si>
  <si>
    <t>Castanopsis lamontii</t>
  </si>
  <si>
    <t>Camellia edithae</t>
  </si>
  <si>
    <t>Ilex championii</t>
  </si>
  <si>
    <t>Lithocarpus skanianus</t>
  </si>
  <si>
    <t>Loropetalum chinense</t>
  </si>
  <si>
    <t>Camellia sinensis</t>
  </si>
  <si>
    <t>Elaeocarpus chinensis</t>
  </si>
  <si>
    <t>Pittosporum pauciflorum</t>
  </si>
  <si>
    <t>Holboellia angustifolia</t>
  </si>
  <si>
    <t>Fissistigma oldhamii</t>
  </si>
  <si>
    <t xml:space="preserve">蕈树 </t>
  </si>
  <si>
    <t xml:space="preserve">木荷 </t>
  </si>
  <si>
    <t xml:space="preserve">栲 </t>
  </si>
  <si>
    <t xml:space="preserve">大果冬青 </t>
  </si>
  <si>
    <t xml:space="preserve">黄杞 </t>
  </si>
  <si>
    <t xml:space="preserve">甜槠 </t>
  </si>
  <si>
    <t xml:space="preserve">罗浮锥 </t>
  </si>
  <si>
    <t xml:space="preserve">山乌桕 </t>
  </si>
  <si>
    <t xml:space="preserve">山杜英 </t>
  </si>
  <si>
    <t xml:space="preserve">黄樟 </t>
  </si>
  <si>
    <t xml:space="preserve">马尾松 </t>
  </si>
  <si>
    <t xml:space="preserve">杉木 </t>
  </si>
  <si>
    <t xml:space="preserve">赤楠 </t>
  </si>
  <si>
    <t xml:space="preserve">黄绒润楠 </t>
  </si>
  <si>
    <t xml:space="preserve">弯蒴杜鹃 </t>
  </si>
  <si>
    <t xml:space="preserve">杨桐 </t>
  </si>
  <si>
    <t xml:space="preserve">丁香杜鹃 </t>
  </si>
  <si>
    <t xml:space="preserve">细枝柃 </t>
  </si>
  <si>
    <t xml:space="preserve">珍珠花 </t>
  </si>
  <si>
    <t xml:space="preserve">刨花润楠 </t>
  </si>
  <si>
    <t xml:space="preserve">南烛 </t>
  </si>
  <si>
    <t xml:space="preserve">毛锥 </t>
  </si>
  <si>
    <t xml:space="preserve">石斑木 </t>
  </si>
  <si>
    <t xml:space="preserve">灰背清风藤 </t>
  </si>
  <si>
    <t xml:space="preserve">菝葜 </t>
  </si>
  <si>
    <t xml:space="preserve">鸭公树 </t>
  </si>
  <si>
    <t xml:space="preserve">罗浮柿 </t>
  </si>
  <si>
    <t xml:space="preserve">黄丹木姜子 </t>
  </si>
  <si>
    <t xml:space="preserve">秃瓣杜英 </t>
  </si>
  <si>
    <t xml:space="preserve">赛山梅 </t>
  </si>
  <si>
    <t xml:space="preserve">鹿角锥 </t>
  </si>
  <si>
    <t xml:space="preserve">尖萼红山茶 </t>
  </si>
  <si>
    <t xml:space="preserve">凹叶冬青 </t>
  </si>
  <si>
    <t xml:space="preserve">滑皮柯 </t>
  </si>
  <si>
    <t xml:space="preserve">檵木 </t>
  </si>
  <si>
    <t xml:space="preserve">茶 </t>
  </si>
  <si>
    <t xml:space="preserve">中华杜英 </t>
  </si>
  <si>
    <t xml:space="preserve">少花海桐 </t>
  </si>
  <si>
    <t xml:space="preserve">五月瓜藤 </t>
  </si>
  <si>
    <t xml:space="preserve">瓜馥木 </t>
  </si>
  <si>
    <t>Ld13C</t>
  </si>
  <si>
    <t>‰,PDB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</si>
</sst>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[Red]\(0.00\)"/>
    <numFmt numFmtId="165" formatCode="0.00_ "/>
  </numFmts>
  <fonts count="11">
    <font>
      <sz val="12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i/>
      <sz val="11"/>
      <color rgb="FFFF0000"/>
      <name val="Calibri"/>
      <family val="3"/>
      <charset val="134"/>
      <scheme val="minor"/>
    </font>
    <font>
      <i/>
      <sz val="12"/>
      <color indexed="10"/>
      <name val="等线"/>
      <family val="3"/>
      <charset val="134"/>
    </font>
    <font>
      <i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0" fillId="0" borderId="0"/>
    <xf numFmtId="0" fontId="2" fillId="0" borderId="0"/>
  </cellStyleXfs>
  <cellXfs count="1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2" fillId="0" borderId="1" xfId="0" applyFont="1" applyBorder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/>
    <xf numFmtId="0" fontId="0" fillId="0" borderId="1" xfId="0" applyBorder="1"/>
    <xf numFmtId="0" fontId="1" fillId="6" borderId="2" xfId="0" applyFont="1" applyFill="1" applyBorder="1"/>
    <xf numFmtId="0" fontId="5" fillId="6" borderId="0" xfId="0" applyFont="1" applyFill="1"/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7" fillId="6" borderId="1" xfId="0" applyFont="1" applyFill="1" applyBorder="1"/>
    <xf numFmtId="0" fontId="8" fillId="0" borderId="1" xfId="0" applyFont="1" applyBorder="1"/>
  </cellXfs>
  <cellStyles count="3">
    <cellStyle name="Normal" xfId="0" builtinId="0"/>
    <cellStyle name="常规 2" xfId="1" xr:uid="{560A5197-0268-4BBA-99C5-0FAF2E9588F3}"/>
    <cellStyle name="常规 3" xfId="2" xr:uid="{D8CA9706-0E72-4B41-A64B-4488D658BE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SeafileSync/Seafile/EdZhu-Drive/Projects_LPICEA_2024/2406-07-&#31119;&#24314;&#19978;&#26477;&#37326;&#22806;/2408-&#26681;&#21494;&#24615;&#29366;&#32852;&#21512;&#20998;&#26512;/rawdata/&#31119;&#24314;_&#25968;&#25454;&#27719;&#24635;&#25972;&#29702;2024.8.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vidual level_整理汇总2024.7"/>
      <sheetName val="Species level_整理汇总2024.8"/>
      <sheetName val="Species list"/>
      <sheetName val="leaf_photosynthesis"/>
      <sheetName val="leaf_respiration"/>
      <sheetName val="stem _respiration"/>
      <sheetName val="root data"/>
      <sheetName val="Ks"/>
      <sheetName val="Huble value"/>
      <sheetName val="WD"/>
      <sheetName val="SLA"/>
      <sheetName val="TLP"/>
      <sheetName val="DBH_H"/>
    </sheetNames>
    <sheetDataSet>
      <sheetData sheetId="0"/>
      <sheetData sheetId="1"/>
      <sheetData sheetId="2">
        <row r="1">
          <cell r="A1" t="str">
            <v>Species_ID</v>
          </cell>
        </row>
      </sheetData>
      <sheetData sheetId="3">
        <row r="1">
          <cell r="B1" t="str">
            <v>SampleID</v>
          </cell>
          <cell r="C1" t="str">
            <v>Asat(umol/m2/s)</v>
          </cell>
          <cell r="D1" t="str">
            <v>Vcmax25(umol/m2/s)</v>
          </cell>
        </row>
        <row r="2">
          <cell r="B2" t="str">
            <v>编号</v>
          </cell>
          <cell r="C2" t="str">
            <v>Light saturated net photosynthetic rate</v>
          </cell>
          <cell r="D2" t="str">
            <v>Maximum rate of Rubisco activity at 25℃</v>
          </cell>
        </row>
        <row r="3">
          <cell r="B3" t="str">
            <v>SH001A</v>
          </cell>
          <cell r="C3">
            <v>7.3651767489999997</v>
          </cell>
          <cell r="D3">
            <v>33.752024444944396</v>
          </cell>
        </row>
        <row r="4">
          <cell r="B4" t="str">
            <v>SH001B</v>
          </cell>
          <cell r="C4">
            <v>1.981656321</v>
          </cell>
          <cell r="D4">
            <v>11.2165915304266</v>
          </cell>
        </row>
        <row r="5">
          <cell r="B5" t="str">
            <v>SH001C</v>
          </cell>
          <cell r="C5">
            <v>4.9287592250000003</v>
          </cell>
          <cell r="D5">
            <v>24.858643700355199</v>
          </cell>
        </row>
        <row r="6">
          <cell r="B6" t="str">
            <v>SH002A</v>
          </cell>
          <cell r="C6">
            <v>15.43805732</v>
          </cell>
          <cell r="D6">
            <v>80.585067587193805</v>
          </cell>
        </row>
        <row r="7">
          <cell r="B7" t="str">
            <v>SH002B</v>
          </cell>
          <cell r="C7">
            <v>5.7592626320000004</v>
          </cell>
          <cell r="D7">
            <v>26.1394826426123</v>
          </cell>
        </row>
        <row r="8">
          <cell r="B8" t="str">
            <v>SH002C</v>
          </cell>
          <cell r="C8">
            <v>6.3069234400000003</v>
          </cell>
          <cell r="D8">
            <v>28.032982724989601</v>
          </cell>
        </row>
        <row r="9">
          <cell r="B9" t="str">
            <v>SH003A</v>
          </cell>
          <cell r="C9">
            <v>6.3769417659999998</v>
          </cell>
          <cell r="D9">
            <v>32.910466251886099</v>
          </cell>
        </row>
        <row r="10">
          <cell r="B10" t="str">
            <v>SH003B</v>
          </cell>
          <cell r="C10">
            <v>10.096939190000001</v>
          </cell>
          <cell r="D10">
            <v>40.519307670553403</v>
          </cell>
        </row>
        <row r="11">
          <cell r="B11" t="str">
            <v>SH003C</v>
          </cell>
          <cell r="C11">
            <v>1.0662428939999999</v>
          </cell>
          <cell r="D11">
            <v>3.9210391881490598</v>
          </cell>
        </row>
        <row r="12">
          <cell r="B12" t="str">
            <v>SH004A</v>
          </cell>
          <cell r="C12">
            <v>6.7841563450000004</v>
          </cell>
          <cell r="D12">
            <v>42.065883591504502</v>
          </cell>
        </row>
        <row r="13">
          <cell r="B13" t="str">
            <v>SH004B</v>
          </cell>
          <cell r="C13">
            <v>7.9827492150000001</v>
          </cell>
          <cell r="D13">
            <v>32.683753285813303</v>
          </cell>
        </row>
        <row r="14">
          <cell r="B14" t="str">
            <v>SH004C</v>
          </cell>
          <cell r="C14">
            <v>9.3808100099999994</v>
          </cell>
          <cell r="D14">
            <v>39.968455459929103</v>
          </cell>
        </row>
        <row r="15">
          <cell r="B15" t="str">
            <v>SH005A</v>
          </cell>
          <cell r="C15">
            <v>6.087925866</v>
          </cell>
          <cell r="D15">
            <v>31.973714409577401</v>
          </cell>
        </row>
        <row r="16">
          <cell r="B16" t="str">
            <v>SH005B</v>
          </cell>
          <cell r="C16">
            <v>4.0517674760000002</v>
          </cell>
          <cell r="D16">
            <v>19.3684828777129</v>
          </cell>
        </row>
        <row r="17">
          <cell r="B17" t="str">
            <v>SH005C</v>
          </cell>
          <cell r="C17">
            <v>5.476160052</v>
          </cell>
          <cell r="D17">
            <v>24.8460372199768</v>
          </cell>
        </row>
        <row r="18">
          <cell r="B18" t="str">
            <v>SH006A</v>
          </cell>
          <cell r="C18">
            <v>6.1158616209999996</v>
          </cell>
          <cell r="D18">
            <v>26.136320964706201</v>
          </cell>
        </row>
        <row r="19">
          <cell r="B19" t="str">
            <v>SH006B</v>
          </cell>
          <cell r="C19">
            <v>2.721143176</v>
          </cell>
          <cell r="D19">
            <v>13.9418977643305</v>
          </cell>
        </row>
        <row r="20">
          <cell r="B20" t="str">
            <v>SH006C</v>
          </cell>
          <cell r="C20">
            <v>2.4510623310000001</v>
          </cell>
          <cell r="D20">
            <v>14.4985192620157</v>
          </cell>
        </row>
        <row r="21">
          <cell r="B21" t="str">
            <v>SH007A</v>
          </cell>
          <cell r="C21">
            <v>5.5202889180000003</v>
          </cell>
          <cell r="D21">
            <v>27.015156288644501</v>
          </cell>
        </row>
        <row r="22">
          <cell r="B22" t="str">
            <v>SH007B</v>
          </cell>
          <cell r="C22">
            <v>3.352236897</v>
          </cell>
          <cell r="D22">
            <v>18.780218146773599</v>
          </cell>
        </row>
        <row r="23">
          <cell r="B23" t="str">
            <v>SH007C</v>
          </cell>
          <cell r="C23">
            <v>2.5840462259999999</v>
          </cell>
          <cell r="D23">
            <v>16.340929654362</v>
          </cell>
        </row>
        <row r="24">
          <cell r="B24" t="str">
            <v>SH009A</v>
          </cell>
          <cell r="C24">
            <v>0.48746028800000002</v>
          </cell>
          <cell r="D24">
            <v>1.6880584477303699</v>
          </cell>
        </row>
        <row r="25">
          <cell r="B25" t="str">
            <v>SH009B</v>
          </cell>
          <cell r="C25">
            <v>7.9405001540000004</v>
          </cell>
          <cell r="D25">
            <v>30.782702123418701</v>
          </cell>
        </row>
        <row r="26">
          <cell r="B26" t="str">
            <v>SH009C</v>
          </cell>
          <cell r="C26">
            <v>4.4373412119999998</v>
          </cell>
          <cell r="D26">
            <v>23.942597953554799</v>
          </cell>
        </row>
        <row r="27">
          <cell r="B27" t="str">
            <v>SH010A</v>
          </cell>
          <cell r="C27">
            <v>1.9971891349999999</v>
          </cell>
          <cell r="D27">
            <v>13.198951809655901</v>
          </cell>
        </row>
        <row r="28">
          <cell r="B28" t="str">
            <v>SH010B</v>
          </cell>
          <cell r="C28">
            <v>3.6187832759999998</v>
          </cell>
          <cell r="D28">
            <v>23.4143597177613</v>
          </cell>
        </row>
        <row r="29">
          <cell r="B29" t="str">
            <v>SH010C</v>
          </cell>
          <cell r="C29">
            <v>5.9432317049999996</v>
          </cell>
          <cell r="D29">
            <v>25.357037949302001</v>
          </cell>
        </row>
        <row r="30">
          <cell r="B30" t="str">
            <v>SH011A</v>
          </cell>
          <cell r="C30">
            <v>3.842043882</v>
          </cell>
          <cell r="D30">
            <v>17.1053734871359</v>
          </cell>
        </row>
        <row r="31">
          <cell r="B31" t="str">
            <v>SH011B</v>
          </cell>
          <cell r="C31">
            <v>2.710231447</v>
          </cell>
          <cell r="D31">
            <v>16.1386748206235</v>
          </cell>
        </row>
        <row r="32">
          <cell r="B32" t="str">
            <v>SH011C</v>
          </cell>
          <cell r="C32">
            <v>6.2213777920000002</v>
          </cell>
          <cell r="D32">
            <v>24.204191142458502</v>
          </cell>
        </row>
        <row r="33">
          <cell r="B33" t="str">
            <v>SH012A</v>
          </cell>
          <cell r="C33">
            <v>11.940987890000001</v>
          </cell>
          <cell r="D33">
            <v>42.485605595236002</v>
          </cell>
        </row>
        <row r="34">
          <cell r="B34" t="str">
            <v>SH012B</v>
          </cell>
          <cell r="C34">
            <v>4.3026017630000002</v>
          </cell>
          <cell r="D34">
            <v>15.754504038262199</v>
          </cell>
        </row>
        <row r="35">
          <cell r="B35" t="str">
            <v>SH012C</v>
          </cell>
          <cell r="C35">
            <v>5.4598033340000001</v>
          </cell>
          <cell r="D35">
            <v>21.456093178417799</v>
          </cell>
        </row>
        <row r="36">
          <cell r="B36" t="str">
            <v>SH013A</v>
          </cell>
          <cell r="C36">
            <v>1.392024878</v>
          </cell>
          <cell r="D36">
            <v>6.9298281000219202</v>
          </cell>
        </row>
        <row r="37">
          <cell r="B37" t="str">
            <v>SH013B</v>
          </cell>
          <cell r="C37">
            <v>2.6179425090000001</v>
          </cell>
          <cell r="D37">
            <v>14.5390000543201</v>
          </cell>
        </row>
        <row r="38">
          <cell r="B38" t="str">
            <v>SH013C</v>
          </cell>
          <cell r="C38">
            <v>4.1940793530000002</v>
          </cell>
          <cell r="D38">
            <v>20.404533954689999</v>
          </cell>
        </row>
        <row r="39">
          <cell r="B39" t="str">
            <v>SH014A</v>
          </cell>
          <cell r="C39">
            <v>3.6357743920000001</v>
          </cell>
          <cell r="D39">
            <v>15.7956210527643</v>
          </cell>
        </row>
        <row r="40">
          <cell r="B40" t="str">
            <v>SH014C</v>
          </cell>
          <cell r="C40">
            <v>1.4107740019999999</v>
          </cell>
          <cell r="D40">
            <v>4.8458741946575401</v>
          </cell>
        </row>
        <row r="41">
          <cell r="B41" t="str">
            <v>SH021</v>
          </cell>
          <cell r="C41">
            <v>2.9897065900000004</v>
          </cell>
          <cell r="D41">
            <v>17.867784172941899</v>
          </cell>
        </row>
        <row r="42">
          <cell r="B42" t="str">
            <v>SH022</v>
          </cell>
          <cell r="C42">
            <v>3.1333517773333335</v>
          </cell>
          <cell r="D42">
            <v>15.6301730937573</v>
          </cell>
        </row>
        <row r="43">
          <cell r="B43" t="str">
            <v>SH023</v>
          </cell>
          <cell r="C43">
            <v>2.4417691239999999</v>
          </cell>
          <cell r="D43">
            <v>12.592415972320467</v>
          </cell>
        </row>
        <row r="44">
          <cell r="B44" t="str">
            <v>SH024</v>
          </cell>
          <cell r="C44">
            <v>2.917402072666667</v>
          </cell>
          <cell r="D44">
            <v>12.800500515224465</v>
          </cell>
        </row>
        <row r="45">
          <cell r="B45" t="str">
            <v>SH025</v>
          </cell>
          <cell r="C45">
            <v>6.2836634163333338</v>
          </cell>
          <cell r="D45">
            <v>22.593165121217268</v>
          </cell>
        </row>
        <row r="46">
          <cell r="B46" t="str">
            <v>SH026</v>
          </cell>
          <cell r="C46">
            <v>4.429070894333333</v>
          </cell>
          <cell r="D46">
            <v>18.076000474152867</v>
          </cell>
        </row>
        <row r="47">
          <cell r="B47" t="str">
            <v>SH027</v>
          </cell>
          <cell r="C47">
            <v>4.4390019463333337</v>
          </cell>
          <cell r="D47">
            <v>16.347178093970232</v>
          </cell>
        </row>
        <row r="48">
          <cell r="B48" t="str">
            <v>SH028</v>
          </cell>
          <cell r="C48">
            <v>4.2655583760000004</v>
          </cell>
          <cell r="D48">
            <v>17.964969220296634</v>
          </cell>
        </row>
        <row r="49">
          <cell r="B49" t="str">
            <v>SH029</v>
          </cell>
          <cell r="C49">
            <v>3.2825402990000003</v>
          </cell>
          <cell r="D49">
            <v>12.924027996594234</v>
          </cell>
        </row>
        <row r="50">
          <cell r="B50" t="str">
            <v>SH030</v>
          </cell>
          <cell r="C50">
            <v>3.9530928260000002</v>
          </cell>
          <cell r="D50">
            <v>15.037379270234728</v>
          </cell>
        </row>
        <row r="51">
          <cell r="B51" t="str">
            <v>SH031</v>
          </cell>
          <cell r="C51">
            <v>3.3909296526666668</v>
          </cell>
          <cell r="D51">
            <v>14.514243657413466</v>
          </cell>
        </row>
        <row r="52">
          <cell r="B52" t="str">
            <v>SH032</v>
          </cell>
          <cell r="C52">
            <v>11.265361759666666</v>
          </cell>
          <cell r="D52">
            <v>44.886492728631765</v>
          </cell>
        </row>
        <row r="53">
          <cell r="B53" t="str">
            <v>SH033</v>
          </cell>
          <cell r="C53">
            <v>1.7602842656666666</v>
          </cell>
          <cell r="D53">
            <v>7.8563740944154645</v>
          </cell>
        </row>
        <row r="54">
          <cell r="B54" t="str">
            <v>SH034</v>
          </cell>
          <cell r="C54">
            <v>2.240133573</v>
          </cell>
          <cell r="D54">
            <v>10.281510920813256</v>
          </cell>
        </row>
        <row r="55">
          <cell r="B55" t="str">
            <v>WH901A</v>
          </cell>
          <cell r="C55">
            <v>2.6589377490000001</v>
          </cell>
          <cell r="D55">
            <v>9.8540412604748102</v>
          </cell>
        </row>
        <row r="56">
          <cell r="B56" t="str">
            <v>WH901B</v>
          </cell>
          <cell r="C56">
            <v>4.1191372199999998</v>
          </cell>
          <cell r="D56">
            <v>16.435370990934</v>
          </cell>
        </row>
        <row r="57">
          <cell r="B57" t="str">
            <v>WH901C</v>
          </cell>
          <cell r="C57">
            <v>4.1438186430000004</v>
          </cell>
          <cell r="D57">
            <v>17.975330078985198</v>
          </cell>
        </row>
        <row r="58">
          <cell r="B58" t="str">
            <v>WH902A</v>
          </cell>
          <cell r="C58">
            <v>2.4940002849999998</v>
          </cell>
          <cell r="D58">
            <v>9.4452034844523496</v>
          </cell>
        </row>
        <row r="59">
          <cell r="B59" t="str">
            <v>WH902B</v>
          </cell>
          <cell r="C59">
            <v>1.934611511</v>
          </cell>
          <cell r="D59">
            <v>7.4467420504293198</v>
          </cell>
        </row>
        <row r="60">
          <cell r="B60" t="str">
            <v>WH902C</v>
          </cell>
          <cell r="C60">
            <v>2.4709496500000001</v>
          </cell>
          <cell r="D60">
            <v>8.6744234989184097</v>
          </cell>
        </row>
        <row r="61">
          <cell r="B61" t="str">
            <v>WH903A</v>
          </cell>
          <cell r="C61">
            <v>4.9632583950000004</v>
          </cell>
          <cell r="D61">
            <v>20.371382093576901</v>
          </cell>
        </row>
        <row r="62">
          <cell r="B62" t="str">
            <v>WH903B</v>
          </cell>
          <cell r="C62">
            <v>3.579987305</v>
          </cell>
          <cell r="D62">
            <v>15.763120601492201</v>
          </cell>
        </row>
        <row r="63">
          <cell r="B63" t="str">
            <v>WH903C</v>
          </cell>
          <cell r="C63">
            <v>2.8140677209999998</v>
          </cell>
          <cell r="D63">
            <v>11.0546389563199</v>
          </cell>
        </row>
        <row r="64">
          <cell r="B64" t="str">
            <v>WH904A</v>
          </cell>
          <cell r="C64">
            <v>4.4336376949999998</v>
          </cell>
          <cell r="D64">
            <v>18.338354127074599</v>
          </cell>
        </row>
        <row r="65">
          <cell r="B65" t="str">
            <v>WH904B</v>
          </cell>
          <cell r="C65">
            <v>4.8206885100000001</v>
          </cell>
          <cell r="D65">
            <v>21.1358621125555</v>
          </cell>
        </row>
        <row r="66">
          <cell r="B66" t="str">
            <v>WH904C</v>
          </cell>
          <cell r="C66">
            <v>3.0468472289999999</v>
          </cell>
          <cell r="D66">
            <v>11.9713952657501</v>
          </cell>
        </row>
        <row r="67">
          <cell r="B67" t="str">
            <v>WH905A</v>
          </cell>
          <cell r="C67">
            <v>7.8091054819999997</v>
          </cell>
          <cell r="D67">
            <v>31.972973694841802</v>
          </cell>
        </row>
        <row r="68">
          <cell r="B68" t="str">
            <v>WH905B</v>
          </cell>
          <cell r="C68">
            <v>2.9953012999999999</v>
          </cell>
          <cell r="D68">
            <v>12.8254016294936</v>
          </cell>
        </row>
        <row r="69">
          <cell r="B69" t="str">
            <v>WH905C</v>
          </cell>
          <cell r="C69">
            <v>3.2391688379999999</v>
          </cell>
          <cell r="D69">
            <v>16.169676652607698</v>
          </cell>
        </row>
        <row r="70">
          <cell r="B70" t="str">
            <v>WH906A</v>
          </cell>
          <cell r="C70">
            <v>1.451917202</v>
          </cell>
          <cell r="D70">
            <v>6.4479292647715898</v>
          </cell>
        </row>
        <row r="71">
          <cell r="B71" t="str">
            <v>WH906B</v>
          </cell>
          <cell r="C71">
            <v>3.185867193</v>
          </cell>
          <cell r="D71">
            <v>11.924461095773101</v>
          </cell>
        </row>
        <row r="72">
          <cell r="B72" t="str">
            <v>WH906C</v>
          </cell>
          <cell r="C72">
            <v>1.4586197329999999</v>
          </cell>
          <cell r="D72">
            <v>5.6540717626613999</v>
          </cell>
        </row>
        <row r="73">
          <cell r="B73" t="str">
            <v>WH907A</v>
          </cell>
          <cell r="C73">
            <v>4.6662208459999999</v>
          </cell>
          <cell r="D73">
            <v>20.5477997920025</v>
          </cell>
        </row>
        <row r="74">
          <cell r="B74" t="str">
            <v>WH907B</v>
          </cell>
          <cell r="C74">
            <v>5.1175712759999996</v>
          </cell>
          <cell r="D74">
            <v>24.253221373054</v>
          </cell>
        </row>
        <row r="75">
          <cell r="B75" t="str">
            <v>WH907C</v>
          </cell>
          <cell r="C75">
            <v>3.9687770580000001</v>
          </cell>
          <cell r="D75">
            <v>17.5142732856538</v>
          </cell>
        </row>
        <row r="76">
          <cell r="B76" t="str">
            <v>WH908</v>
          </cell>
          <cell r="C76">
            <v>2.6477754835000002</v>
          </cell>
          <cell r="D76">
            <v>10.884255707246124</v>
          </cell>
        </row>
        <row r="77">
          <cell r="B77" t="str">
            <v>WH909</v>
          </cell>
          <cell r="C77">
            <v>1.9110928249999999</v>
          </cell>
          <cell r="D77">
            <v>10.26587928888952</v>
          </cell>
        </row>
        <row r="78">
          <cell r="B78" t="str">
            <v>WH910</v>
          </cell>
          <cell r="C78">
            <v>5.2838079660000004</v>
          </cell>
          <cell r="D78">
            <v>21.122238367233567</v>
          </cell>
        </row>
        <row r="79">
          <cell r="B79" t="str">
            <v>WH911</v>
          </cell>
          <cell r="C79">
            <v>4.6748568216666664</v>
          </cell>
          <cell r="D79">
            <v>16.048711468353432</v>
          </cell>
        </row>
        <row r="80">
          <cell r="B80" t="str">
            <v>WH912</v>
          </cell>
          <cell r="C80">
            <v>3.306872927666666</v>
          </cell>
          <cell r="D80">
            <v>14.013321747253235</v>
          </cell>
        </row>
        <row r="81">
          <cell r="B81" t="str">
            <v>WH913</v>
          </cell>
          <cell r="C81">
            <v>1.779349496</v>
          </cell>
          <cell r="D81">
            <v>6.5663330162578699</v>
          </cell>
        </row>
        <row r="82">
          <cell r="B82" t="str">
            <v>WH921</v>
          </cell>
          <cell r="C82">
            <v>3.7685515330000001</v>
          </cell>
          <cell r="D82">
            <v>14.8638416804343</v>
          </cell>
        </row>
        <row r="83">
          <cell r="B83" t="str">
            <v>WH922</v>
          </cell>
          <cell r="C83">
            <v>3.2459121030000002</v>
          </cell>
          <cell r="D83">
            <v>18.781420166310699</v>
          </cell>
        </row>
        <row r="84">
          <cell r="B84" t="str">
            <v>WH923</v>
          </cell>
          <cell r="C84">
            <v>1.9778435703333335</v>
          </cell>
          <cell r="D84">
            <v>6.617345137639866</v>
          </cell>
        </row>
        <row r="85">
          <cell r="B85" t="str">
            <v>WH924</v>
          </cell>
          <cell r="C85">
            <v>2.883208818</v>
          </cell>
          <cell r="D85">
            <v>10.205257999897329</v>
          </cell>
        </row>
        <row r="86">
          <cell r="B86" t="str">
            <v>WH925</v>
          </cell>
          <cell r="C86">
            <v>2.7233393193333337</v>
          </cell>
          <cell r="D86">
            <v>11.773422536646066</v>
          </cell>
        </row>
        <row r="87">
          <cell r="B87" t="str">
            <v>WH926</v>
          </cell>
          <cell r="C87">
            <v>2.4669937353333333</v>
          </cell>
          <cell r="D87">
            <v>8.8219370241462034</v>
          </cell>
        </row>
        <row r="88">
          <cell r="B88" t="str">
            <v>WH927</v>
          </cell>
          <cell r="C88">
            <v>1.779349496</v>
          </cell>
          <cell r="D88">
            <v>6.5663330156031199</v>
          </cell>
        </row>
        <row r="89">
          <cell r="B89" t="str">
            <v>WH928</v>
          </cell>
          <cell r="C89">
            <v>2.9931048069999999</v>
          </cell>
          <cell r="D89">
            <v>11.500858596463798</v>
          </cell>
        </row>
        <row r="90">
          <cell r="B90" t="str">
            <v>WH929</v>
          </cell>
          <cell r="C90">
            <v>3.6347736079999997</v>
          </cell>
          <cell r="D90">
            <v>14.477364596698493</v>
          </cell>
        </row>
        <row r="91">
          <cell r="B91" t="str">
            <v>WH930</v>
          </cell>
          <cell r="C91">
            <v>3.0203518166666665</v>
          </cell>
          <cell r="D91">
            <v>10.36018348668725</v>
          </cell>
        </row>
        <row r="92">
          <cell r="B92" t="str">
            <v>WH931</v>
          </cell>
          <cell r="C92">
            <v>3.9419241876666669</v>
          </cell>
          <cell r="D92">
            <v>15.3011638232437</v>
          </cell>
        </row>
        <row r="93">
          <cell r="B93" t="str">
            <v>WH932</v>
          </cell>
          <cell r="C93">
            <v>3.2161888580000002</v>
          </cell>
          <cell r="D93">
            <v>14.9682180212872</v>
          </cell>
        </row>
      </sheetData>
      <sheetData sheetId="4">
        <row r="1">
          <cell r="B1" t="str">
            <v>SampleID</v>
          </cell>
          <cell r="C1" t="str">
            <v>Rdark,25 (umol/m2/s)</v>
          </cell>
          <cell r="D1" t="str">
            <v>Rlight,25 (umol/m2/s)</v>
          </cell>
        </row>
        <row r="2">
          <cell r="B2"/>
          <cell r="C2" t="str">
            <v xml:space="preserve"> leaf dark respiration rate at 25℃</v>
          </cell>
          <cell r="D2" t="str">
            <v xml:space="preserve"> leaf light respiration rate at 25℃</v>
          </cell>
        </row>
        <row r="3">
          <cell r="B3" t="str">
            <v>SH001A</v>
          </cell>
          <cell r="C3">
            <v>-0.91404340954095198</v>
          </cell>
          <cell r="D3">
            <v>-0.23092325393856999</v>
          </cell>
        </row>
        <row r="4">
          <cell r="B4" t="str">
            <v>SH002A</v>
          </cell>
          <cell r="C4">
            <v>-1.2330945689974699</v>
          </cell>
          <cell r="D4">
            <v>-0.22897216714736299</v>
          </cell>
        </row>
        <row r="5">
          <cell r="B5" t="str">
            <v>SH003A</v>
          </cell>
          <cell r="C5">
            <v>-0.40589999999999998</v>
          </cell>
          <cell r="D5">
            <v>-3.1811006351600397E-2</v>
          </cell>
        </row>
        <row r="6">
          <cell r="B6" t="str">
            <v>SH004A</v>
          </cell>
          <cell r="C6">
            <v>-1.10143295826364</v>
          </cell>
          <cell r="D6">
            <v>-6.9563135588777802E-2</v>
          </cell>
        </row>
        <row r="7">
          <cell r="B7" t="str">
            <v>SH005A</v>
          </cell>
          <cell r="C7">
            <v>-1.02765935809554</v>
          </cell>
          <cell r="D7">
            <v>-0.70500381445556304</v>
          </cell>
        </row>
        <row r="8">
          <cell r="B8" t="str">
            <v>SH006B</v>
          </cell>
          <cell r="C8">
            <v>-0.70310067605436299</v>
          </cell>
          <cell r="D8">
            <v>-0.26546976918052401</v>
          </cell>
        </row>
        <row r="9">
          <cell r="B9" t="str">
            <v>SH007A</v>
          </cell>
          <cell r="C9">
            <v>-0.33850000000000002</v>
          </cell>
          <cell r="D9">
            <v>3.7225029581376502E-2</v>
          </cell>
        </row>
        <row r="10">
          <cell r="B10" t="str">
            <v>SH007B</v>
          </cell>
          <cell r="C10">
            <v>-1.23479699880974</v>
          </cell>
          <cell r="D10">
            <v>-0.25809101706267501</v>
          </cell>
        </row>
        <row r="11">
          <cell r="B11" t="str">
            <v>SH009B</v>
          </cell>
          <cell r="C11">
            <v>-1.3993821617358</v>
          </cell>
          <cell r="D11">
            <v>-1.2780100743679099</v>
          </cell>
        </row>
        <row r="12">
          <cell r="B12" t="str">
            <v>SH010A</v>
          </cell>
          <cell r="C12">
            <v>-0.51394134690356197</v>
          </cell>
          <cell r="D12">
            <v>8.1378006503578904E-2</v>
          </cell>
        </row>
        <row r="13">
          <cell r="B13" t="str">
            <v>SH011A</v>
          </cell>
          <cell r="C13">
            <v>-1.09253297374227</v>
          </cell>
          <cell r="D13">
            <v>-0.42569821267956998</v>
          </cell>
        </row>
        <row r="14">
          <cell r="B14" t="str">
            <v>SH012C</v>
          </cell>
          <cell r="C14">
            <v>-1.1662485449307101</v>
          </cell>
          <cell r="D14">
            <v>4.5706408071396303E-3</v>
          </cell>
        </row>
        <row r="15">
          <cell r="B15" t="str">
            <v>SH013A</v>
          </cell>
          <cell r="C15">
            <v>-0.33972866123706202</v>
          </cell>
          <cell r="D15">
            <v>-0.28419723015169202</v>
          </cell>
        </row>
        <row r="16">
          <cell r="B16" t="str">
            <v>SH014A</v>
          </cell>
          <cell r="C16">
            <v>-0.40934346842584102</v>
          </cell>
          <cell r="D16">
            <v>-0.12853296472481601</v>
          </cell>
        </row>
        <row r="17">
          <cell r="B17" t="str">
            <v>SH021</v>
          </cell>
          <cell r="C17">
            <v>4.0438754845114097E-2</v>
          </cell>
          <cell r="D17">
            <v>0.35738554099269898</v>
          </cell>
        </row>
        <row r="18">
          <cell r="B18" t="str">
            <v>SH022</v>
          </cell>
          <cell r="C18">
            <v>-0.28094185589037501</v>
          </cell>
          <cell r="D18">
            <v>-6.2717637337151105E-2</v>
          </cell>
        </row>
        <row r="19">
          <cell r="B19" t="str">
            <v>SH024</v>
          </cell>
          <cell r="C19">
            <v>6.7528041707849401E-2</v>
          </cell>
          <cell r="D19">
            <v>0.99343996886943298</v>
          </cell>
        </row>
        <row r="20">
          <cell r="B20" t="str">
            <v>SH025</v>
          </cell>
          <cell r="C20">
            <v>-0.36547832732020602</v>
          </cell>
          <cell r="D20">
            <v>0.14920173103944701</v>
          </cell>
        </row>
        <row r="21">
          <cell r="B21" t="str">
            <v>SH026</v>
          </cell>
          <cell r="C21">
            <v>-0.16349872084872699</v>
          </cell>
          <cell r="D21">
            <v>0.28112653355884798</v>
          </cell>
        </row>
        <row r="22">
          <cell r="B22" t="str">
            <v>SH027</v>
          </cell>
          <cell r="C22">
            <v>-0.362287078746307</v>
          </cell>
          <cell r="D22">
            <v>-3.3324621320938899E-2</v>
          </cell>
        </row>
        <row r="23">
          <cell r="B23" t="str">
            <v>SH028</v>
          </cell>
          <cell r="C23">
            <v>-0.51916340393136595</v>
          </cell>
          <cell r="D23">
            <v>-8.0394572270315896E-3</v>
          </cell>
        </row>
        <row r="24">
          <cell r="B24" t="str">
            <v>SH029</v>
          </cell>
          <cell r="C24">
            <v>-0.47839999999999999</v>
          </cell>
          <cell r="D24">
            <v>-0.22538439173445901</v>
          </cell>
        </row>
        <row r="25">
          <cell r="B25" t="str">
            <v>SH030</v>
          </cell>
          <cell r="C25">
            <v>-0.222115765034194</v>
          </cell>
          <cell r="D25">
            <v>0.43874660194128801</v>
          </cell>
        </row>
        <row r="26">
          <cell r="B26" t="str">
            <v>SH032</v>
          </cell>
          <cell r="C26">
            <v>-0.51659542237147105</v>
          </cell>
          <cell r="D26">
            <v>-0.21826842959051901</v>
          </cell>
        </row>
        <row r="27">
          <cell r="B27" t="str">
            <v>SH034</v>
          </cell>
          <cell r="C27">
            <v>-0.159226108868813</v>
          </cell>
          <cell r="D27">
            <v>9.2093940022792295E-2</v>
          </cell>
        </row>
        <row r="28">
          <cell r="B28" t="str">
            <v>WH901A</v>
          </cell>
          <cell r="C28">
            <v>-0.251619632777483</v>
          </cell>
          <cell r="D28">
            <v>0.55273840415068898</v>
          </cell>
        </row>
        <row r="29">
          <cell r="B29" t="str">
            <v>WH902A</v>
          </cell>
          <cell r="C29">
            <v>-0.41144443698954702</v>
          </cell>
          <cell r="D29">
            <v>-0.37536641666984799</v>
          </cell>
        </row>
        <row r="30">
          <cell r="B30" t="str">
            <v>WH903A</v>
          </cell>
          <cell r="C30">
            <v>-0.38856173116995102</v>
          </cell>
          <cell r="D30">
            <v>-4.5849913792038101E-2</v>
          </cell>
        </row>
        <row r="31">
          <cell r="B31" t="str">
            <v>WH904A</v>
          </cell>
          <cell r="C31">
            <v>-1.39138804794146</v>
          </cell>
          <cell r="D31">
            <v>-0.179242726009052</v>
          </cell>
        </row>
        <row r="32">
          <cell r="B32" t="str">
            <v>WH905A</v>
          </cell>
          <cell r="C32">
            <v>-0.41620407991964098</v>
          </cell>
          <cell r="D32">
            <v>1.00681732289853</v>
          </cell>
        </row>
        <row r="33">
          <cell r="B33" t="str">
            <v>WH906A</v>
          </cell>
          <cell r="C33">
            <v>-0.74121967729736404</v>
          </cell>
          <cell r="D33">
            <v>-0.103203349255689</v>
          </cell>
        </row>
        <row r="34">
          <cell r="B34" t="str">
            <v>WH907A</v>
          </cell>
          <cell r="C34">
            <v>-0.602345830471675</v>
          </cell>
          <cell r="D34">
            <v>-0.68940000000000001</v>
          </cell>
        </row>
        <row r="35">
          <cell r="B35" t="str">
            <v>WH908</v>
          </cell>
          <cell r="C35">
            <v>-1.4086645709560199</v>
          </cell>
          <cell r="D35">
            <v>-0.69908864004739801</v>
          </cell>
        </row>
        <row r="36">
          <cell r="B36" t="str">
            <v>WH909</v>
          </cell>
          <cell r="C36">
            <v>-1.06030326887316</v>
          </cell>
          <cell r="D36">
            <v>-0.62990989588739899</v>
          </cell>
        </row>
        <row r="37">
          <cell r="B37" t="str">
            <v>WH910</v>
          </cell>
          <cell r="C37">
            <v>-1.1205793000727</v>
          </cell>
          <cell r="D37">
            <v>-0.44524877797359202</v>
          </cell>
        </row>
        <row r="38">
          <cell r="B38" t="str">
            <v>WH911</v>
          </cell>
          <cell r="C38">
            <v>-0.99107478299863705</v>
          </cell>
          <cell r="D38">
            <v>-0.27058378332006</v>
          </cell>
        </row>
        <row r="39">
          <cell r="B39" t="str">
            <v>WH912</v>
          </cell>
          <cell r="C39">
            <v>-0.63308624283231396</v>
          </cell>
          <cell r="D39">
            <v>-0.178698423405806</v>
          </cell>
        </row>
        <row r="40">
          <cell r="B40" t="str">
            <v>WH913</v>
          </cell>
          <cell r="C40">
            <v>-0.94018885924954598</v>
          </cell>
          <cell r="D40">
            <v>-0.76457361414343805</v>
          </cell>
        </row>
        <row r="41">
          <cell r="B41" t="str">
            <v>WH921</v>
          </cell>
          <cell r="C41">
            <v>-0.77342670008790104</v>
          </cell>
          <cell r="D41">
            <v>-0.220451372564513</v>
          </cell>
        </row>
        <row r="42">
          <cell r="B42" t="str">
            <v>WH922</v>
          </cell>
          <cell r="C42">
            <v>-0.78375041539897095</v>
          </cell>
          <cell r="D42">
            <v>-0.36619678063209599</v>
          </cell>
        </row>
        <row r="43">
          <cell r="B43" t="str">
            <v>WH923</v>
          </cell>
          <cell r="C43">
            <v>-0.34246563765424098</v>
          </cell>
          <cell r="D43">
            <v>0.109549347144723</v>
          </cell>
        </row>
        <row r="44">
          <cell r="B44" t="str">
            <v>WH924</v>
          </cell>
          <cell r="C44">
            <v>-0.61071828193361799</v>
          </cell>
          <cell r="D44">
            <v>-0.2243</v>
          </cell>
        </row>
        <row r="45">
          <cell r="B45" t="str">
            <v>WH925</v>
          </cell>
          <cell r="C45">
            <v>-0.86734360629882701</v>
          </cell>
          <cell r="D45">
            <v>-3.94940667986443E-4</v>
          </cell>
        </row>
        <row r="46">
          <cell r="B46" t="str">
            <v>WH926</v>
          </cell>
          <cell r="C46">
            <v>-0.92797665396731399</v>
          </cell>
          <cell r="D46">
            <v>5.5101281027752601E-2</v>
          </cell>
        </row>
        <row r="47">
          <cell r="B47" t="str">
            <v>WH927</v>
          </cell>
          <cell r="C47">
            <v>-0.758458489134333</v>
          </cell>
          <cell r="D47">
            <v>0.27211515420035798</v>
          </cell>
        </row>
        <row r="48">
          <cell r="B48" t="str">
            <v>WH928</v>
          </cell>
          <cell r="C48">
            <v>-0.81962181270351397</v>
          </cell>
          <cell r="D48">
            <v>-0.23280000000000001</v>
          </cell>
        </row>
        <row r="49">
          <cell r="B49" t="str">
            <v>WH929</v>
          </cell>
          <cell r="C49">
            <v>-0.53593386613771798</v>
          </cell>
          <cell r="D49">
            <v>0.18857014262291599</v>
          </cell>
        </row>
        <row r="50">
          <cell r="B50" t="str">
            <v>WH930</v>
          </cell>
          <cell r="C50">
            <v>-0.49792302777444702</v>
          </cell>
          <cell r="D50">
            <v>0.46469412546097899</v>
          </cell>
        </row>
        <row r="51">
          <cell r="B51" t="str">
            <v>WH931</v>
          </cell>
          <cell r="C51">
            <v>-0.84095018758323203</v>
          </cell>
          <cell r="D51">
            <v>-0.43813453783876199</v>
          </cell>
        </row>
        <row r="52">
          <cell r="B52" t="str">
            <v>WH932</v>
          </cell>
          <cell r="C52">
            <v>-0.73321163664933797</v>
          </cell>
          <cell r="D52">
            <v>-0.53892538137387203</v>
          </cell>
        </row>
      </sheetData>
      <sheetData sheetId="5">
        <row r="1">
          <cell r="AA1" t="str">
            <v>SampleID</v>
          </cell>
        </row>
      </sheetData>
      <sheetData sheetId="6">
        <row r="1">
          <cell r="B1" t="str">
            <v>SampleID</v>
          </cell>
          <cell r="C1" t="str">
            <v>类型</v>
          </cell>
          <cell r="D1" t="str">
            <v>物种名</v>
          </cell>
          <cell r="E1" t="str">
            <v>重复</v>
          </cell>
          <cell r="F1" t="str">
            <v>气室体积 (L)</v>
          </cell>
          <cell r="G1" t="str">
            <v>测呼吸时温度</v>
          </cell>
          <cell r="H1" t="str">
            <v>鲜重 (g)</v>
          </cell>
          <cell r="I1" t="str">
            <v>干重 (g)</v>
          </cell>
          <cell r="J1" t="str">
            <v>干物质含量 (g/g)</v>
          </cell>
          <cell r="K1" t="str">
            <v>比呼吸强度 - 原始Rr (nmol/g/s)</v>
          </cell>
          <cell r="L1" t="str">
            <v>比呼吸强度 - 25度标准化Rr25  (nmol/g/s)</v>
          </cell>
          <cell r="M1" t="str">
            <v>根均直径RD（mm）</v>
          </cell>
          <cell r="N1" t="str">
            <v>根长（mm）</v>
          </cell>
          <cell r="O1" t="str">
            <v>根表面积（mm2）</v>
          </cell>
          <cell r="P1" t="str">
            <v>根体积（mm3）</v>
          </cell>
          <cell r="Q1" t="str">
            <v>比根长SRL（m/g）</v>
          </cell>
          <cell r="R1" t="str">
            <v>比根面积SRA（cm2/g）</v>
          </cell>
          <cell r="S1" t="str">
            <v>根组织密度RTD（g/cm3）</v>
          </cell>
        </row>
        <row r="2">
          <cell r="B2"/>
          <cell r="C2"/>
          <cell r="D2"/>
          <cell r="E2" t="str">
            <v>空白为仅一株</v>
          </cell>
          <cell r="F2" t="str">
            <v>默认 0.118L、定做0.2144L</v>
          </cell>
          <cell r="G2" t="str">
            <v>若测量多个值则取平均</v>
          </cell>
          <cell r="H2" t="str">
            <v>Sample_FW</v>
          </cell>
          <cell r="I2" t="str">
            <v>Sample_DW</v>
          </cell>
          <cell r="J2" t="str">
            <v>Root_dry_matter_content (g/g)</v>
          </cell>
          <cell r="K2" t="str">
            <v>Specific_root_respiration (nmol/g/s)</v>
          </cell>
          <cell r="L2" t="str">
            <v>Specific_root_respiration @ 25 degrees (nmol/g/s)</v>
          </cell>
          <cell r="M2" t="str">
            <v>Mean_root_diameter (mm)</v>
          </cell>
          <cell r="N2" t="str">
            <v>Total.Root.Length.mm</v>
          </cell>
          <cell r="O2" t="str">
            <v>Surface.Area.mm2</v>
          </cell>
          <cell r="P2" t="str">
            <v>Volume.mm3</v>
          </cell>
          <cell r="Q2" t="str">
            <v>Specific_root_length (m/g)</v>
          </cell>
          <cell r="R2" t="str">
            <v>Specific_root_area (cm2/g)</v>
          </cell>
          <cell r="S2" t="str">
            <v>Root_tissue_density (g/cm3)</v>
          </cell>
        </row>
        <row r="3">
          <cell r="B3" t="str">
            <v>SH001A</v>
          </cell>
          <cell r="C3" t="str">
            <v>TREE</v>
          </cell>
          <cell r="D3" t="str">
            <v>001 蕈树 Altingia chinensis</v>
          </cell>
          <cell r="E3" t="str">
            <v>A</v>
          </cell>
          <cell r="F3">
            <v>0.21440000000000001</v>
          </cell>
          <cell r="G3">
            <v>29.5</v>
          </cell>
          <cell r="H3">
            <v>1.9900000000000001E-2</v>
          </cell>
          <cell r="I3">
            <v>3.3E-3</v>
          </cell>
          <cell r="J3">
            <v>0.16582914572864321</v>
          </cell>
          <cell r="K3">
            <v>81.405318638507495</v>
          </cell>
          <cell r="L3">
            <v>61.525761247842802</v>
          </cell>
          <cell r="M3">
            <v>0.255</v>
          </cell>
          <cell r="N3">
            <v>672.30399999999997</v>
          </cell>
          <cell r="O3">
            <v>533.35900000000004</v>
          </cell>
          <cell r="P3">
            <v>41.296999999999997</v>
          </cell>
          <cell r="Q3">
            <v>203.72848484848484</v>
          </cell>
          <cell r="R3">
            <v>1616.2393939393939</v>
          </cell>
          <cell r="S3">
            <v>7.9908952224132496E-2</v>
          </cell>
        </row>
        <row r="4">
          <cell r="B4" t="str">
            <v>SH002A</v>
          </cell>
          <cell r="C4" t="str">
            <v>TREE</v>
          </cell>
          <cell r="D4" t="str">
            <v>002 木荷 Schima superba</v>
          </cell>
          <cell r="E4" t="str">
            <v>A</v>
          </cell>
          <cell r="F4">
            <v>0.21440000000000001</v>
          </cell>
          <cell r="G4">
            <v>27.7</v>
          </cell>
          <cell r="H4">
            <v>2.3E-2</v>
          </cell>
          <cell r="I4">
            <v>8.3999999999999995E-3</v>
          </cell>
          <cell r="J4">
            <v>0.36521739130434783</v>
          </cell>
          <cell r="K4">
            <v>20.681981311471901</v>
          </cell>
          <cell r="L4">
            <v>17.279677295769599</v>
          </cell>
          <cell r="M4">
            <v>0.312</v>
          </cell>
          <cell r="N4">
            <v>347.59399999999999</v>
          </cell>
          <cell r="O4">
            <v>340.149</v>
          </cell>
          <cell r="P4">
            <v>28.776</v>
          </cell>
          <cell r="Q4">
            <v>41.380238095238099</v>
          </cell>
          <cell r="R4">
            <v>404.93928571428575</v>
          </cell>
          <cell r="S4">
            <v>0.29190992493744788</v>
          </cell>
        </row>
        <row r="5">
          <cell r="B5" t="str">
            <v>SH003A</v>
          </cell>
          <cell r="C5" t="str">
            <v>TREE</v>
          </cell>
          <cell r="D5" t="str">
            <v>003 栲 Castanopsis fargesii</v>
          </cell>
          <cell r="E5" t="str">
            <v>A</v>
          </cell>
          <cell r="F5">
            <v>0.21440000000000001</v>
          </cell>
          <cell r="G5">
            <v>29.7</v>
          </cell>
          <cell r="H5">
            <v>1.5100000000000001E-2</v>
          </cell>
          <cell r="I5">
            <v>8.3999999999999995E-3</v>
          </cell>
          <cell r="J5">
            <v>0.55629139072847678</v>
          </cell>
          <cell r="K5">
            <v>10.272710757051099</v>
          </cell>
          <cell r="L5">
            <v>7.6859137667405797</v>
          </cell>
          <cell r="M5">
            <v>0.28799999999999998</v>
          </cell>
          <cell r="N5">
            <v>473.99099999999999</v>
          </cell>
          <cell r="O5">
            <v>423.83100000000002</v>
          </cell>
          <cell r="P5">
            <v>36.575000000000003</v>
          </cell>
          <cell r="Q5">
            <v>56.427500000000002</v>
          </cell>
          <cell r="R5">
            <v>504.56071428571437</v>
          </cell>
          <cell r="S5">
            <v>0.22966507177033491</v>
          </cell>
        </row>
        <row r="6">
          <cell r="B6" t="str">
            <v>SH004A</v>
          </cell>
          <cell r="C6" t="str">
            <v>TREE</v>
          </cell>
          <cell r="D6" t="str">
            <v>004 大果冬青 Ilex macrocarpa</v>
          </cell>
          <cell r="E6" t="str">
            <v>A</v>
          </cell>
          <cell r="F6">
            <v>0.21440000000000001</v>
          </cell>
          <cell r="G6">
            <v>29.2</v>
          </cell>
          <cell r="H6">
            <v>1.9300000000000001E-2</v>
          </cell>
          <cell r="I6">
            <v>7.4999999999999997E-3</v>
          </cell>
          <cell r="J6">
            <v>0.38860103626942999</v>
          </cell>
          <cell r="K6">
            <v>25.2097553451108</v>
          </cell>
          <cell r="L6">
            <v>19.352321625627599</v>
          </cell>
          <cell r="M6">
            <v>0.316</v>
          </cell>
          <cell r="N6">
            <v>349.96199999999999</v>
          </cell>
          <cell r="O6">
            <v>345.22300000000001</v>
          </cell>
          <cell r="P6">
            <v>32.381</v>
          </cell>
          <cell r="Q6">
            <v>46.6616</v>
          </cell>
          <cell r="R6">
            <v>460.29733333333337</v>
          </cell>
          <cell r="S6">
            <v>0.23161730644513756</v>
          </cell>
        </row>
        <row r="7">
          <cell r="B7" t="str">
            <v>SH005A</v>
          </cell>
          <cell r="C7" t="str">
            <v>TREE</v>
          </cell>
          <cell r="D7" t="str">
            <v>005 黄杞 Engelhardia roxburghiana</v>
          </cell>
          <cell r="E7" t="str">
            <v>A</v>
          </cell>
          <cell r="F7">
            <v>0.21440000000000001</v>
          </cell>
          <cell r="G7">
            <v>29.3</v>
          </cell>
          <cell r="H7">
            <v>2.0400000000000001E-2</v>
          </cell>
          <cell r="I7">
            <v>7.4999999999999997E-3</v>
          </cell>
          <cell r="J7">
            <v>0.36764705882352938</v>
          </cell>
          <cell r="K7">
            <v>85.338147019484893</v>
          </cell>
          <cell r="L7">
            <v>65.167602699162501</v>
          </cell>
          <cell r="M7">
            <v>0.32300000000000001</v>
          </cell>
          <cell r="N7">
            <v>508.11799999999999</v>
          </cell>
          <cell r="O7">
            <v>512.81299999999999</v>
          </cell>
          <cell r="P7">
            <v>48.289000000000001</v>
          </cell>
          <cell r="Q7">
            <v>67.749066666666664</v>
          </cell>
          <cell r="R7">
            <v>683.75066666666669</v>
          </cell>
          <cell r="S7">
            <v>0.15531487502329722</v>
          </cell>
        </row>
        <row r="8">
          <cell r="B8" t="str">
            <v>SH006A</v>
          </cell>
          <cell r="C8" t="str">
            <v>TREE</v>
          </cell>
          <cell r="D8" t="str">
            <v>006 甜槠 Castanopsis eyrei</v>
          </cell>
          <cell r="E8" t="str">
            <v>A</v>
          </cell>
          <cell r="F8">
            <v>0.21440000000000001</v>
          </cell>
          <cell r="G8">
            <v>27.8</v>
          </cell>
          <cell r="H8">
            <v>2.64E-2</v>
          </cell>
          <cell r="I8">
            <v>7.9000000000000008E-3</v>
          </cell>
          <cell r="J8">
            <v>0.29924242424242425</v>
          </cell>
          <cell r="K8">
            <v>65.136774818270894</v>
          </cell>
          <cell r="L8">
            <v>54.096176695292897</v>
          </cell>
          <cell r="M8">
            <v>0.36599999999999999</v>
          </cell>
          <cell r="N8">
            <v>469.23099999999999</v>
          </cell>
          <cell r="O8">
            <v>532.90300000000002</v>
          </cell>
          <cell r="P8">
            <v>58.845999999999997</v>
          </cell>
          <cell r="Q8">
            <v>59.396329113924047</v>
          </cell>
          <cell r="R8">
            <v>674.56075949367084</v>
          </cell>
          <cell r="S8">
            <v>0.13424871699010979</v>
          </cell>
        </row>
        <row r="9">
          <cell r="B9" t="str">
            <v>SH006B</v>
          </cell>
          <cell r="C9" t="str">
            <v>TREE</v>
          </cell>
          <cell r="D9" t="str">
            <v>006 甜槠 Castanopsis eyrei</v>
          </cell>
          <cell r="E9" t="str">
            <v>B</v>
          </cell>
          <cell r="F9">
            <v>0.21440000000000001</v>
          </cell>
          <cell r="G9">
            <v>29.1</v>
          </cell>
          <cell r="H9">
            <v>1.7000000000000001E-2</v>
          </cell>
          <cell r="I9">
            <v>8.3000000000000001E-3</v>
          </cell>
          <cell r="J9">
            <v>0.48823529411764705</v>
          </cell>
          <cell r="K9">
            <v>23.1491402520981</v>
          </cell>
          <cell r="L9">
            <v>17.864776978324301</v>
          </cell>
          <cell r="M9">
            <v>0.33500000000000002</v>
          </cell>
          <cell r="N9">
            <v>357.28899999999999</v>
          </cell>
          <cell r="O9">
            <v>373.30599999999998</v>
          </cell>
          <cell r="P9">
            <v>36.197000000000003</v>
          </cell>
          <cell r="Q9">
            <v>43.046867469879516</v>
          </cell>
          <cell r="R9">
            <v>449.76626506024098</v>
          </cell>
          <cell r="S9">
            <v>0.229300770782109</v>
          </cell>
        </row>
        <row r="10">
          <cell r="B10" t="str">
            <v>SH006C</v>
          </cell>
          <cell r="C10" t="str">
            <v>TREE</v>
          </cell>
          <cell r="D10" t="str">
            <v>006 甜槠 Castanopsis eyrei</v>
          </cell>
          <cell r="E10" t="str">
            <v>C</v>
          </cell>
          <cell r="F10">
            <v>0.21440000000000001</v>
          </cell>
          <cell r="G10">
            <v>28.3</v>
          </cell>
          <cell r="H10">
            <v>5.2600000000000001E-2</v>
          </cell>
          <cell r="I10">
            <v>2.1399999999999999E-2</v>
          </cell>
          <cell r="J10">
            <v>0.40684410646387831</v>
          </cell>
          <cell r="K10">
            <v>20.2550133613951</v>
          </cell>
          <cell r="L10">
            <v>16.3371972048934</v>
          </cell>
          <cell r="M10">
            <v>0.44800000000000001</v>
          </cell>
          <cell r="N10">
            <v>396.61700000000002</v>
          </cell>
          <cell r="O10">
            <v>556.69000000000005</v>
          </cell>
          <cell r="P10">
            <v>69.814999999999998</v>
          </cell>
          <cell r="Q10">
            <v>18.533504672897198</v>
          </cell>
          <cell r="R10">
            <v>260.13551401869159</v>
          </cell>
          <cell r="S10">
            <v>0.30652438587696051</v>
          </cell>
        </row>
        <row r="11">
          <cell r="B11" t="str">
            <v>SH007A</v>
          </cell>
          <cell r="C11" t="str">
            <v>TREE</v>
          </cell>
          <cell r="D11" t="str">
            <v>007 罗浮锥 Castanopsis faberi</v>
          </cell>
          <cell r="E11" t="str">
            <v>A</v>
          </cell>
          <cell r="F11">
            <v>0.21440000000000001</v>
          </cell>
          <cell r="G11">
            <v>28.9</v>
          </cell>
          <cell r="H11">
            <v>3.5299999999999998E-2</v>
          </cell>
          <cell r="I11">
            <v>1.5599999999999999E-2</v>
          </cell>
          <cell r="J11">
            <v>0.44192634560906519</v>
          </cell>
          <cell r="K11">
            <v>41.970544463800998</v>
          </cell>
          <cell r="L11">
            <v>32.739401675250299</v>
          </cell>
          <cell r="M11">
            <v>0.49399999999999999</v>
          </cell>
          <cell r="N11">
            <v>242.142</v>
          </cell>
          <cell r="O11">
            <v>377.57900000000001</v>
          </cell>
          <cell r="P11">
            <v>51.795999999999999</v>
          </cell>
          <cell r="Q11">
            <v>15.521923076923077</v>
          </cell>
          <cell r="R11">
            <v>242.03782051282053</v>
          </cell>
          <cell r="S11">
            <v>0.30118155842149968</v>
          </cell>
        </row>
        <row r="12">
          <cell r="B12" t="str">
            <v>SH009B</v>
          </cell>
          <cell r="C12" t="str">
            <v>TREE</v>
          </cell>
          <cell r="D12" t="str">
            <v>009 山乌桕 Triadica cochinchinensis</v>
          </cell>
          <cell r="E12" t="str">
            <v>B</v>
          </cell>
          <cell r="F12">
            <v>0.21440000000000001</v>
          </cell>
          <cell r="G12">
            <v>28.85</v>
          </cell>
          <cell r="H12">
            <v>2.1999999999999999E-2</v>
          </cell>
          <cell r="I12">
            <v>1.03E-2</v>
          </cell>
          <cell r="J12">
            <v>0.4681818181818182</v>
          </cell>
          <cell r="K12">
            <v>69.187345597083905</v>
          </cell>
          <cell r="L12">
            <v>54.116850758021897</v>
          </cell>
          <cell r="M12">
            <v>0.35199999999999998</v>
          </cell>
          <cell r="N12">
            <v>301.28300000000002</v>
          </cell>
          <cell r="O12">
            <v>332.69099999999997</v>
          </cell>
          <cell r="P12">
            <v>35.287999999999997</v>
          </cell>
          <cell r="Q12">
            <v>29.250776699029128</v>
          </cell>
          <cell r="R12">
            <v>323.0009708737864</v>
          </cell>
          <cell r="S12">
            <v>0.29188392654726819</v>
          </cell>
        </row>
        <row r="13">
          <cell r="B13" t="str">
            <v>SH010A</v>
          </cell>
          <cell r="C13" t="str">
            <v>TREE</v>
          </cell>
          <cell r="D13" t="str">
            <v>010 山杜英 Elaeocarpus sylvestis</v>
          </cell>
          <cell r="E13" t="str">
            <v>A</v>
          </cell>
          <cell r="F13">
            <v>0.21440000000000001</v>
          </cell>
          <cell r="G13">
            <v>28.4</v>
          </cell>
          <cell r="H13">
            <v>4.2500000000000003E-2</v>
          </cell>
          <cell r="I13">
            <v>1.7500000000000002E-2</v>
          </cell>
          <cell r="J13">
            <v>0.41176470588235298</v>
          </cell>
          <cell r="K13">
            <v>11.652129524022801</v>
          </cell>
          <cell r="L13">
            <v>9.3449268975113995</v>
          </cell>
          <cell r="M13">
            <v>0.434</v>
          </cell>
          <cell r="N13">
            <v>360.14100000000002</v>
          </cell>
          <cell r="O13">
            <v>491.7</v>
          </cell>
          <cell r="P13">
            <v>60.539000000000001</v>
          </cell>
          <cell r="Q13">
            <v>20.579485714285713</v>
          </cell>
          <cell r="R13">
            <v>280.97142857142853</v>
          </cell>
          <cell r="S13">
            <v>0.28906985579543765</v>
          </cell>
        </row>
        <row r="14">
          <cell r="B14" t="str">
            <v>SH011A</v>
          </cell>
          <cell r="C14" t="str">
            <v>TREE</v>
          </cell>
          <cell r="D14" t="str">
            <v>011 黄樟 Camphora parthenoxylon</v>
          </cell>
          <cell r="E14" t="str">
            <v>A</v>
          </cell>
          <cell r="F14">
            <v>0.21440000000000001</v>
          </cell>
          <cell r="G14">
            <v>29.5</v>
          </cell>
          <cell r="H14">
            <v>6.2899999999999998E-2</v>
          </cell>
          <cell r="I14">
            <v>2.7400000000000001E-2</v>
          </cell>
          <cell r="J14">
            <v>0.43561208267090623</v>
          </cell>
          <cell r="K14">
            <v>11.671774048795299</v>
          </cell>
          <cell r="L14">
            <v>8.8214725459628003</v>
          </cell>
          <cell r="M14">
            <v>0.51900000000000002</v>
          </cell>
          <cell r="N14">
            <v>340.39400000000001</v>
          </cell>
          <cell r="O14">
            <v>554.34199999999998</v>
          </cell>
          <cell r="P14">
            <v>82.39</v>
          </cell>
          <cell r="Q14">
            <v>12.423138686131388</v>
          </cell>
          <cell r="R14">
            <v>202.31459854014599</v>
          </cell>
          <cell r="S14">
            <v>0.33256463163005218</v>
          </cell>
        </row>
        <row r="15">
          <cell r="B15" t="str">
            <v>SH012C</v>
          </cell>
          <cell r="C15" t="str">
            <v>TREE</v>
          </cell>
          <cell r="D15" t="str">
            <v>012 马尾松 Pinus massoniana</v>
          </cell>
          <cell r="E15" t="str">
            <v>C</v>
          </cell>
          <cell r="F15">
            <v>0.21440000000000001</v>
          </cell>
          <cell r="G15">
            <v>27.27</v>
          </cell>
          <cell r="H15">
            <v>4.87E-2</v>
          </cell>
          <cell r="I15">
            <v>1.9900000000000001E-2</v>
          </cell>
          <cell r="J15">
            <v>0.40862422997946612</v>
          </cell>
          <cell r="K15">
            <v>8.7425761087569391</v>
          </cell>
          <cell r="L15">
            <v>7.4992361086660697</v>
          </cell>
          <cell r="M15">
            <v>0.503</v>
          </cell>
          <cell r="N15">
            <v>349.56200000000001</v>
          </cell>
          <cell r="O15">
            <v>551.96500000000003</v>
          </cell>
          <cell r="P15">
            <v>79.141000000000005</v>
          </cell>
          <cell r="Q15">
            <v>17.565929648241209</v>
          </cell>
          <cell r="R15">
            <v>277.36934673366835</v>
          </cell>
          <cell r="S15">
            <v>0.25144994377124374</v>
          </cell>
        </row>
        <row r="16">
          <cell r="B16" t="str">
            <v>SH013A</v>
          </cell>
          <cell r="C16" t="str">
            <v>TREE</v>
          </cell>
          <cell r="D16" t="str">
            <v>013 杉木 Cunninghamia lanceolata</v>
          </cell>
          <cell r="E16" t="str">
            <v>A</v>
          </cell>
          <cell r="F16">
            <v>0.21440000000000001</v>
          </cell>
          <cell r="G16">
            <v>26.7</v>
          </cell>
          <cell r="H16">
            <v>0.13969999999999999</v>
          </cell>
          <cell r="I16">
            <v>4.2799999999999998E-2</v>
          </cell>
          <cell r="J16">
            <v>0.30637079455977095</v>
          </cell>
          <cell r="K16">
            <v>4.0726152240484801</v>
          </cell>
          <cell r="L16">
            <v>3.6224433849383901</v>
          </cell>
          <cell r="M16">
            <v>0.68600000000000005</v>
          </cell>
          <cell r="N16">
            <v>453.62900000000002</v>
          </cell>
          <cell r="O16">
            <v>981.221</v>
          </cell>
          <cell r="P16">
            <v>189.68799999999999</v>
          </cell>
          <cell r="Q16">
            <v>10.598808411214954</v>
          </cell>
          <cell r="R16">
            <v>229.25724299065422</v>
          </cell>
          <cell r="S16">
            <v>0.22563367213529584</v>
          </cell>
        </row>
        <row r="17">
          <cell r="B17" t="str">
            <v>SH014A</v>
          </cell>
          <cell r="C17" t="str">
            <v>TREE</v>
          </cell>
          <cell r="D17" t="str">
            <v>014 赤楠 Syzygium buxifolium</v>
          </cell>
          <cell r="E17" t="str">
            <v>A</v>
          </cell>
          <cell r="F17">
            <v>0.21440000000000001</v>
          </cell>
          <cell r="G17">
            <v>27.15</v>
          </cell>
          <cell r="H17">
            <v>8.5400000000000004E-2</v>
          </cell>
          <cell r="I17">
            <v>1.9599999999999999E-2</v>
          </cell>
          <cell r="J17">
            <v>0.22950819672131145</v>
          </cell>
          <cell r="K17">
            <v>11.301738595798801</v>
          </cell>
          <cell r="L17">
            <v>9.7674882303957506</v>
          </cell>
          <cell r="M17">
            <v>0.35799999999999998</v>
          </cell>
          <cell r="N17">
            <v>1399.836</v>
          </cell>
          <cell r="O17">
            <v>1557.261</v>
          </cell>
          <cell r="P17">
            <v>174.89500000000001</v>
          </cell>
          <cell r="Q17">
            <v>71.420204081632662</v>
          </cell>
          <cell r="R17">
            <v>794.52091836734689</v>
          </cell>
          <cell r="S17">
            <v>0.11206724034420651</v>
          </cell>
        </row>
        <row r="18">
          <cell r="B18" t="str">
            <v>SH021</v>
          </cell>
          <cell r="C18" t="str">
            <v>SHURB</v>
          </cell>
          <cell r="D18" t="str">
            <v>021 黄绒润楠 Machilus grijsii</v>
          </cell>
          <cell r="E18"/>
          <cell r="F18">
            <v>0.21440000000000001</v>
          </cell>
          <cell r="G18">
            <v>27.55</v>
          </cell>
          <cell r="H18">
            <v>0.14680000000000001</v>
          </cell>
          <cell r="I18">
            <v>4.2999999999999997E-2</v>
          </cell>
          <cell r="J18">
            <v>0.2929155313351498</v>
          </cell>
          <cell r="K18">
            <v>2.2456755906796202</v>
          </cell>
          <cell r="L18">
            <v>1.89336767947179</v>
          </cell>
          <cell r="M18">
            <v>0.72499999999999998</v>
          </cell>
          <cell r="N18">
            <v>429.59399999999999</v>
          </cell>
          <cell r="O18">
            <v>979.61</v>
          </cell>
          <cell r="P18">
            <v>194.239</v>
          </cell>
          <cell r="Q18">
            <v>9.9905581395348833</v>
          </cell>
          <cell r="R18">
            <v>227.81627906976749</v>
          </cell>
          <cell r="S18">
            <v>0.2213767574997812</v>
          </cell>
        </row>
        <row r="19">
          <cell r="B19" t="str">
            <v>SH022</v>
          </cell>
          <cell r="C19" t="str">
            <v>SHURB</v>
          </cell>
          <cell r="D19" t="str">
            <v>022 弯蒴杜鹃 Rhododendron henryi</v>
          </cell>
          <cell r="E19"/>
          <cell r="F19">
            <v>0.21440000000000001</v>
          </cell>
          <cell r="G19">
            <v>27.45</v>
          </cell>
          <cell r="H19">
            <v>5.79E-2</v>
          </cell>
          <cell r="I19">
            <v>2.29E-2</v>
          </cell>
          <cell r="J19">
            <v>0.39550949913644212</v>
          </cell>
          <cell r="K19">
            <v>14.236334925244501</v>
          </cell>
          <cell r="L19">
            <v>12.076529168599601</v>
          </cell>
          <cell r="M19">
            <v>0.41799999999999998</v>
          </cell>
          <cell r="N19">
            <v>557.68899999999996</v>
          </cell>
          <cell r="O19">
            <v>727.19500000000005</v>
          </cell>
          <cell r="P19">
            <v>93.838999999999999</v>
          </cell>
          <cell r="Q19">
            <v>24.353231441048035</v>
          </cell>
          <cell r="R19">
            <v>317.55240174672491</v>
          </cell>
          <cell r="S19">
            <v>0.24403499611035925</v>
          </cell>
        </row>
        <row r="20">
          <cell r="B20" t="str">
            <v>SH023</v>
          </cell>
          <cell r="C20" t="str">
            <v>SHURB</v>
          </cell>
          <cell r="D20" t="str">
            <v>023 杨桐 Adinandra millettii</v>
          </cell>
          <cell r="E20"/>
          <cell r="F20">
            <v>0.21440000000000001</v>
          </cell>
          <cell r="G20">
            <v>27.8</v>
          </cell>
          <cell r="H20">
            <v>6.3399999999999998E-2</v>
          </cell>
          <cell r="I20">
            <v>2.3199999999999998E-2</v>
          </cell>
          <cell r="J20">
            <v>0.36593059936908517</v>
          </cell>
          <cell r="K20">
            <v>5.54504871836573</v>
          </cell>
          <cell r="L20">
            <v>4.6051702143622197</v>
          </cell>
          <cell r="M20">
            <v>0.46800000000000003</v>
          </cell>
          <cell r="N20">
            <v>484.38299999999998</v>
          </cell>
          <cell r="O20">
            <v>711.46699999999998</v>
          </cell>
          <cell r="P20">
            <v>106.426</v>
          </cell>
          <cell r="Q20">
            <v>20.878577586206898</v>
          </cell>
          <cell r="R20">
            <v>306.66681034482764</v>
          </cell>
          <cell r="S20">
            <v>0.21799184409824665</v>
          </cell>
        </row>
        <row r="21">
          <cell r="B21" t="str">
            <v>SH024</v>
          </cell>
          <cell r="C21" t="str">
            <v>SHURB</v>
          </cell>
          <cell r="D21" t="str">
            <v>024 丁香杜鹃 Rhododendron farrerae</v>
          </cell>
          <cell r="E21"/>
          <cell r="F21">
            <v>0.21440000000000001</v>
          </cell>
          <cell r="G21">
            <v>26.55</v>
          </cell>
          <cell r="H21">
            <v>6.1800000000000001E-2</v>
          </cell>
          <cell r="I21">
            <v>2.5899999999999999E-2</v>
          </cell>
          <cell r="J21">
            <v>0.41909385113268605</v>
          </cell>
          <cell r="K21">
            <v>7.48155977022512</v>
          </cell>
          <cell r="L21">
            <v>6.7201082662225602</v>
          </cell>
          <cell r="M21">
            <v>0.254</v>
          </cell>
          <cell r="N21">
            <v>1334.0609999999999</v>
          </cell>
          <cell r="O21">
            <v>1056.172</v>
          </cell>
          <cell r="P21">
            <v>88.988</v>
          </cell>
          <cell r="Q21">
            <v>51.508146718146719</v>
          </cell>
          <cell r="R21">
            <v>407.78841698841705</v>
          </cell>
          <cell r="S21">
            <v>0.29105047871623141</v>
          </cell>
        </row>
        <row r="22">
          <cell r="B22" t="str">
            <v>SH025</v>
          </cell>
          <cell r="C22" t="str">
            <v>SHURB</v>
          </cell>
          <cell r="D22" t="str">
            <v>025 细枝柃 Eurya loquaiana</v>
          </cell>
          <cell r="E22"/>
          <cell r="F22">
            <v>0.21440000000000001</v>
          </cell>
          <cell r="G22">
            <v>27.1</v>
          </cell>
          <cell r="H22">
            <v>3.04E-2</v>
          </cell>
          <cell r="I22">
            <v>1.0200000000000001E-2</v>
          </cell>
          <cell r="J22">
            <v>0.33552631578947373</v>
          </cell>
          <cell r="K22">
            <v>20.077941544662</v>
          </cell>
          <cell r="L22">
            <v>17.407003212628201</v>
          </cell>
          <cell r="M22">
            <v>0.224</v>
          </cell>
          <cell r="N22">
            <v>1007.275</v>
          </cell>
          <cell r="O22">
            <v>696.12599999999998</v>
          </cell>
          <cell r="P22">
            <v>54.36</v>
          </cell>
          <cell r="Q22">
            <v>98.75245098039214</v>
          </cell>
          <cell r="R22">
            <v>682.4764705882352</v>
          </cell>
          <cell r="S22">
            <v>0.18763796909492275</v>
          </cell>
        </row>
        <row r="23">
          <cell r="B23" t="str">
            <v>SH026</v>
          </cell>
          <cell r="C23" t="str">
            <v>SHURB</v>
          </cell>
          <cell r="D23" t="str">
            <v>026 矩叶鼠刺 Itea oblonga</v>
          </cell>
          <cell r="E23"/>
          <cell r="F23">
            <v>0.21440000000000001</v>
          </cell>
          <cell r="G23">
            <v>27.45</v>
          </cell>
          <cell r="H23">
            <v>4.5900000000000003E-2</v>
          </cell>
          <cell r="I23">
            <v>1.9400000000000001E-2</v>
          </cell>
          <cell r="J23">
            <v>0.42265795206971674</v>
          </cell>
          <cell r="K23">
            <v>20.1199678388057</v>
          </cell>
          <cell r="L23">
            <v>17.0675514275631</v>
          </cell>
          <cell r="M23">
            <v>0.24299999999999999</v>
          </cell>
          <cell r="N23">
            <v>927.76800000000003</v>
          </cell>
          <cell r="O23">
            <v>709.62599999999998</v>
          </cell>
          <cell r="P23">
            <v>63.115000000000002</v>
          </cell>
          <cell r="Q23">
            <v>47.823092783505153</v>
          </cell>
          <cell r="R23">
            <v>365.78659793814433</v>
          </cell>
          <cell r="S23">
            <v>0.3073754258100293</v>
          </cell>
        </row>
        <row r="24">
          <cell r="B24" t="str">
            <v>SH027</v>
          </cell>
          <cell r="C24" t="str">
            <v>SHURB</v>
          </cell>
          <cell r="D24" t="str">
            <v>027 珍珠花 Lyonia ovalifolia</v>
          </cell>
          <cell r="E24"/>
          <cell r="F24">
            <v>0.21440000000000001</v>
          </cell>
          <cell r="G24">
            <v>26.7</v>
          </cell>
          <cell r="H24">
            <v>2.98E-2</v>
          </cell>
          <cell r="I24">
            <v>1.01E-2</v>
          </cell>
          <cell r="J24">
            <v>0.33892617449664431</v>
          </cell>
          <cell r="K24">
            <v>27.613137677508899</v>
          </cell>
          <cell r="L24">
            <v>24.560883465404</v>
          </cell>
          <cell r="M24">
            <v>0.224</v>
          </cell>
          <cell r="N24">
            <v>867.21</v>
          </cell>
          <cell r="O24">
            <v>606.93299999999999</v>
          </cell>
          <cell r="P24">
            <v>44.704000000000001</v>
          </cell>
          <cell r="Q24">
            <v>85.862376237623764</v>
          </cell>
          <cell r="R24">
            <v>600.92376237623762</v>
          </cell>
          <cell r="S24">
            <v>0.22593056549749463</v>
          </cell>
        </row>
        <row r="25">
          <cell r="B25" t="str">
            <v>SH028</v>
          </cell>
          <cell r="C25" t="str">
            <v>SHURB</v>
          </cell>
          <cell r="D25" t="str">
            <v>028 刨花润楠 Machilus pauhoi</v>
          </cell>
          <cell r="E25"/>
          <cell r="F25">
            <v>0.21440000000000001</v>
          </cell>
          <cell r="G25">
            <v>27.15</v>
          </cell>
          <cell r="H25">
            <v>7.0800000000000002E-2</v>
          </cell>
          <cell r="I25">
            <v>2.3599999999999999E-2</v>
          </cell>
          <cell r="J25">
            <v>0.33333333333333331</v>
          </cell>
          <cell r="K25">
            <v>4.91657554732521</v>
          </cell>
          <cell r="L25">
            <v>4.2491332979690402</v>
          </cell>
          <cell r="M25">
            <v>0.34499999999999997</v>
          </cell>
          <cell r="N25">
            <v>897.82399999999996</v>
          </cell>
          <cell r="O25">
            <v>969.03300000000002</v>
          </cell>
          <cell r="P25">
            <v>102.80200000000001</v>
          </cell>
          <cell r="Q25">
            <v>38.043389830508474</v>
          </cell>
          <cell r="R25">
            <v>410.60720338983049</v>
          </cell>
          <cell r="S25">
            <v>0.22956751814167037</v>
          </cell>
        </row>
        <row r="26">
          <cell r="B26" t="str">
            <v>SH029</v>
          </cell>
          <cell r="C26" t="str">
            <v>SHURB</v>
          </cell>
          <cell r="D26" t="str">
            <v>029 南烛 Vaccinium bracteatum</v>
          </cell>
          <cell r="E26"/>
          <cell r="F26">
            <v>0.21440000000000001</v>
          </cell>
          <cell r="G26">
            <v>27.3</v>
          </cell>
          <cell r="H26">
            <v>3.3099999999999997E-2</v>
          </cell>
          <cell r="I26">
            <v>1.5699999999999999E-2</v>
          </cell>
          <cell r="J26">
            <v>0.47432024169184289</v>
          </cell>
          <cell r="K26">
            <v>24.622773642713199</v>
          </cell>
          <cell r="L26">
            <v>21.081633556053401</v>
          </cell>
          <cell r="M26">
            <v>0.254</v>
          </cell>
          <cell r="N26">
            <v>740.88199999999995</v>
          </cell>
          <cell r="O26">
            <v>590.90700000000004</v>
          </cell>
          <cell r="P26">
            <v>48.277999999999999</v>
          </cell>
          <cell r="Q26">
            <v>47.189936305732481</v>
          </cell>
          <cell r="R26">
            <v>376.37388535031857</v>
          </cell>
          <cell r="S26">
            <v>0.32519988400513689</v>
          </cell>
        </row>
        <row r="27">
          <cell r="B27" t="str">
            <v>SH030</v>
          </cell>
          <cell r="C27" t="str">
            <v>SHURB</v>
          </cell>
          <cell r="D27" t="str">
            <v>030 毛锥 Castanopsis fordii</v>
          </cell>
          <cell r="E27"/>
          <cell r="F27">
            <v>0.21440000000000001</v>
          </cell>
          <cell r="G27">
            <v>28.3</v>
          </cell>
          <cell r="H27">
            <v>0.1552</v>
          </cell>
          <cell r="I27">
            <v>5.8500000000000003E-2</v>
          </cell>
          <cell r="J27">
            <v>0.37693298969072164</v>
          </cell>
          <cell r="K27">
            <v>14.8190525105591</v>
          </cell>
          <cell r="L27">
            <v>11.9526844507596</v>
          </cell>
          <cell r="M27">
            <v>0.33600000000000002</v>
          </cell>
          <cell r="N27">
            <v>2073.5839999999998</v>
          </cell>
          <cell r="O27">
            <v>2163.6320000000001</v>
          </cell>
          <cell r="P27">
            <v>225.28200000000001</v>
          </cell>
          <cell r="Q27">
            <v>35.44588034188034</v>
          </cell>
          <cell r="R27">
            <v>369.85162393162392</v>
          </cell>
          <cell r="S27">
            <v>0.2596745412416438</v>
          </cell>
        </row>
        <row r="28">
          <cell r="B28" t="str">
            <v>SH032</v>
          </cell>
          <cell r="C28" t="str">
            <v>SHURB</v>
          </cell>
          <cell r="D28" t="str">
            <v>032 石斑木 Rhaphiolepis indica</v>
          </cell>
          <cell r="E28"/>
          <cell r="F28">
            <v>0.21440000000000001</v>
          </cell>
          <cell r="G28">
            <v>27.8</v>
          </cell>
          <cell r="H28">
            <v>9.4899999999999998E-2</v>
          </cell>
          <cell r="I28">
            <v>3.3599999999999998E-2</v>
          </cell>
          <cell r="J28">
            <v>0.35405690200210749</v>
          </cell>
          <cell r="K28">
            <v>8.6146292588893996</v>
          </cell>
          <cell r="L28">
            <v>7.15446086874113</v>
          </cell>
          <cell r="M28">
            <v>0.38100000000000001</v>
          </cell>
          <cell r="N28">
            <v>853.13400000000001</v>
          </cell>
          <cell r="O28">
            <v>1021.325</v>
          </cell>
          <cell r="P28">
            <v>120.386</v>
          </cell>
          <cell r="Q28">
            <v>25.390892857142859</v>
          </cell>
          <cell r="R28">
            <v>303.96577380952385</v>
          </cell>
          <cell r="S28">
            <v>0.2791022211885103</v>
          </cell>
        </row>
        <row r="29">
          <cell r="B29" t="str">
            <v>SH033</v>
          </cell>
          <cell r="C29" t="str">
            <v>LIANA</v>
          </cell>
          <cell r="D29" t="str">
            <v>033 灰背清风藤 Sabia discolor</v>
          </cell>
          <cell r="E29" t="str">
            <v>不测</v>
          </cell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B30" t="str">
            <v>SH034</v>
          </cell>
          <cell r="C30" t="str">
            <v>LIANA</v>
          </cell>
          <cell r="D30" t="str">
            <v>034 菝葜 Smilax china</v>
          </cell>
          <cell r="E30" t="str">
            <v>不测</v>
          </cell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B31" t="str">
            <v>WH901A</v>
          </cell>
          <cell r="C31" t="str">
            <v>TREE</v>
          </cell>
          <cell r="D31" t="str">
            <v>WH901 鸭公树 Neolitsea chui</v>
          </cell>
          <cell r="E31" t="str">
            <v>A</v>
          </cell>
          <cell r="F31">
            <v>0.11799999999999999</v>
          </cell>
          <cell r="G31">
            <v>24.55</v>
          </cell>
          <cell r="H31">
            <v>4.5400000000000003E-2</v>
          </cell>
          <cell r="I31">
            <v>1.26E-2</v>
          </cell>
          <cell r="J31">
            <v>0.27753303964757708</v>
          </cell>
          <cell r="K31">
            <v>9.1634021726711392</v>
          </cell>
          <cell r="L31">
            <v>9.4726147530592009</v>
          </cell>
          <cell r="M31">
            <v>0.34499999999999997</v>
          </cell>
          <cell r="N31">
            <v>550.69600000000003</v>
          </cell>
          <cell r="O31">
            <v>595.71600000000001</v>
          </cell>
          <cell r="P31">
            <v>58.045999999999999</v>
          </cell>
          <cell r="Q31">
            <v>43.706031746031755</v>
          </cell>
          <cell r="R31">
            <v>472.79047619047617</v>
          </cell>
          <cell r="S31">
            <v>0.21706922096268477</v>
          </cell>
        </row>
        <row r="32">
          <cell r="B32" t="str">
            <v>WH902A</v>
          </cell>
          <cell r="C32" t="str">
            <v>TREE</v>
          </cell>
          <cell r="D32" t="str">
            <v>WH902 刨花润楠 Machilus pauhoi</v>
          </cell>
          <cell r="E32" t="str">
            <v>A</v>
          </cell>
          <cell r="F32">
            <v>0.11799999999999999</v>
          </cell>
          <cell r="G32">
            <v>24.45</v>
          </cell>
          <cell r="H32">
            <v>0.13769999999999999</v>
          </cell>
          <cell r="I32">
            <v>2.58E-2</v>
          </cell>
          <cell r="J32">
            <v>0.18736383442265797</v>
          </cell>
          <cell r="K32">
            <v>9.9785602082156508</v>
          </cell>
          <cell r="L32">
            <v>10.3928922289147</v>
          </cell>
          <cell r="M32">
            <v>0.72099999999999997</v>
          </cell>
          <cell r="N32">
            <v>393.90600000000001</v>
          </cell>
          <cell r="O32">
            <v>893.04499999999996</v>
          </cell>
          <cell r="P32">
            <v>176.6</v>
          </cell>
          <cell r="Q32">
            <v>15.267674418604651</v>
          </cell>
          <cell r="R32">
            <v>346.14147286821708</v>
          </cell>
          <cell r="S32">
            <v>0.14609286523216308</v>
          </cell>
        </row>
        <row r="33">
          <cell r="B33" t="str">
            <v>WH903A</v>
          </cell>
          <cell r="C33" t="str">
            <v>TREE</v>
          </cell>
          <cell r="D33" t="str">
            <v>WH903 罗浮柿 Diospyros morrisiana</v>
          </cell>
          <cell r="E33" t="str">
            <v>A</v>
          </cell>
          <cell r="F33">
            <v>0.11799999999999999</v>
          </cell>
          <cell r="G33">
            <v>24.87</v>
          </cell>
          <cell r="H33">
            <v>0.13070000000000001</v>
          </cell>
          <cell r="I33">
            <v>3.1099999999999999E-2</v>
          </cell>
          <cell r="J33">
            <v>0.23794950267788828</v>
          </cell>
          <cell r="K33">
            <v>8.28442280441935</v>
          </cell>
          <cell r="L33">
            <v>8.36346332151445</v>
          </cell>
          <cell r="M33">
            <v>0.53100000000000003</v>
          </cell>
          <cell r="N33">
            <v>585.01599999999996</v>
          </cell>
          <cell r="O33">
            <v>975.298</v>
          </cell>
          <cell r="P33">
            <v>139.101</v>
          </cell>
          <cell r="Q33">
            <v>18.810803858520899</v>
          </cell>
          <cell r="R33">
            <v>313.60064308681677</v>
          </cell>
          <cell r="S33">
            <v>0.22357855083716147</v>
          </cell>
        </row>
        <row r="34">
          <cell r="B34" t="str">
            <v>WH904A</v>
          </cell>
          <cell r="C34" t="str">
            <v>TREE</v>
          </cell>
          <cell r="D34" t="str">
            <v>WH904 毛锥 Castanopsis fordii</v>
          </cell>
          <cell r="E34" t="str">
            <v>A</v>
          </cell>
          <cell r="F34">
            <v>0.11799999999999999</v>
          </cell>
          <cell r="G34">
            <v>25.1</v>
          </cell>
          <cell r="H34">
            <v>7.9799999999999996E-2</v>
          </cell>
          <cell r="I34">
            <v>1.72E-2</v>
          </cell>
          <cell r="J34">
            <v>0.2155388471177945</v>
          </cell>
          <cell r="K34">
            <v>16.081508122508801</v>
          </cell>
          <cell r="L34">
            <v>15.9652870976141</v>
          </cell>
          <cell r="M34">
            <v>0.42099999999999999</v>
          </cell>
          <cell r="N34">
            <v>670.45299999999997</v>
          </cell>
          <cell r="O34">
            <v>882.21799999999996</v>
          </cell>
          <cell r="P34">
            <v>105.956</v>
          </cell>
          <cell r="Q34">
            <v>38.979825581395346</v>
          </cell>
          <cell r="R34">
            <v>512.91744186046503</v>
          </cell>
          <cell r="S34">
            <v>0.16233153384423721</v>
          </cell>
        </row>
        <row r="35">
          <cell r="B35" t="str">
            <v>WH905A</v>
          </cell>
          <cell r="C35" t="str">
            <v>TREE</v>
          </cell>
          <cell r="D35" t="str">
            <v>WH905 罗浮锥 Castanopsis faberi</v>
          </cell>
          <cell r="E35" t="str">
            <v>A</v>
          </cell>
          <cell r="F35">
            <v>0.11799999999999999</v>
          </cell>
          <cell r="G35">
            <v>25.03</v>
          </cell>
          <cell r="H35">
            <v>0.1187</v>
          </cell>
          <cell r="I35">
            <v>3.3099999999999997E-2</v>
          </cell>
          <cell r="J35">
            <v>0.27885425442291489</v>
          </cell>
          <cell r="K35">
            <v>6.7662585473266503</v>
          </cell>
          <cell r="L35">
            <v>6.7515198142227799</v>
          </cell>
          <cell r="M35">
            <v>0.58899999999999997</v>
          </cell>
          <cell r="N35">
            <v>468.48200000000003</v>
          </cell>
          <cell r="O35">
            <v>865.91</v>
          </cell>
          <cell r="P35">
            <v>139.06100000000001</v>
          </cell>
          <cell r="Q35">
            <v>14.153534743202417</v>
          </cell>
          <cell r="R35">
            <v>261.60422960725077</v>
          </cell>
          <cell r="S35">
            <v>0.23802503937121114</v>
          </cell>
        </row>
        <row r="36">
          <cell r="B36" t="str">
            <v>WH906A</v>
          </cell>
          <cell r="C36" t="str">
            <v>TREE</v>
          </cell>
          <cell r="D36" t="str">
            <v>WH906 山杜英 Elaeocarpus sylvestis</v>
          </cell>
          <cell r="E36" t="str">
            <v>A</v>
          </cell>
          <cell r="F36">
            <v>0.11799999999999999</v>
          </cell>
          <cell r="G36">
            <v>24.15</v>
          </cell>
          <cell r="H36">
            <v>4.24E-2</v>
          </cell>
          <cell r="I36">
            <v>1.77E-2</v>
          </cell>
          <cell r="J36">
            <v>0.41745283018867924</v>
          </cell>
          <cell r="K36">
            <v>8.3602175224697604</v>
          </cell>
          <cell r="L36">
            <v>8.9077052273538992</v>
          </cell>
          <cell r="M36">
            <v>0.40600000000000003</v>
          </cell>
          <cell r="N36">
            <v>353.99799999999999</v>
          </cell>
          <cell r="O36">
            <v>451.06700000000001</v>
          </cell>
          <cell r="P36">
            <v>52.982999999999997</v>
          </cell>
          <cell r="Q36">
            <v>19.999887005649715</v>
          </cell>
          <cell r="R36">
            <v>254.84011299435028</v>
          </cell>
          <cell r="S36">
            <v>0.33406941849272415</v>
          </cell>
        </row>
        <row r="37">
          <cell r="B37" t="str">
            <v>WH907A</v>
          </cell>
          <cell r="C37" t="str">
            <v>TREE</v>
          </cell>
          <cell r="D37" t="str">
            <v>WH907 栲 Castanopsis fargesii</v>
          </cell>
          <cell r="E37" t="str">
            <v>A</v>
          </cell>
          <cell r="F37">
            <v>0.11799999999999999</v>
          </cell>
          <cell r="G37">
            <v>23.93</v>
          </cell>
          <cell r="H37">
            <v>6.1699999999999998E-2</v>
          </cell>
          <cell r="I37">
            <v>1.4E-2</v>
          </cell>
          <cell r="J37">
            <v>0.22690437601296598</v>
          </cell>
          <cell r="K37">
            <v>14.057600597526299</v>
          </cell>
          <cell r="L37">
            <v>15.2339328437243</v>
          </cell>
          <cell r="M37">
            <v>0.27900000000000003</v>
          </cell>
          <cell r="N37">
            <v>1240.424</v>
          </cell>
          <cell r="O37">
            <v>1076.7180000000001</v>
          </cell>
          <cell r="P37">
            <v>95.063000000000002</v>
          </cell>
          <cell r="Q37">
            <v>88.60171428571428</v>
          </cell>
          <cell r="R37">
            <v>769.08428571428578</v>
          </cell>
          <cell r="S37">
            <v>0.14727075728727265</v>
          </cell>
        </row>
        <row r="38">
          <cell r="B38" t="str">
            <v>WH908</v>
          </cell>
          <cell r="C38" t="str">
            <v>TREE</v>
          </cell>
          <cell r="D38" t="str">
            <v>WH908 黄丹木姜子 Litsea elongata</v>
          </cell>
          <cell r="E38"/>
          <cell r="F38">
            <v>0.11799999999999999</v>
          </cell>
          <cell r="G38">
            <v>25.3</v>
          </cell>
          <cell r="H38">
            <v>0.15939999999999999</v>
          </cell>
          <cell r="I38">
            <v>3.2300000000000002E-2</v>
          </cell>
          <cell r="J38">
            <v>0.20263488080301131</v>
          </cell>
          <cell r="K38">
            <v>9.2261986409010497</v>
          </cell>
          <cell r="L38">
            <v>9.0288167814162392</v>
          </cell>
          <cell r="M38">
            <v>0.66900000000000004</v>
          </cell>
          <cell r="N38">
            <v>517.44100000000003</v>
          </cell>
          <cell r="O38">
            <v>1083.7750000000001</v>
          </cell>
          <cell r="P38">
            <v>206.01400000000001</v>
          </cell>
          <cell r="Q38">
            <v>16.01984520123839</v>
          </cell>
          <cell r="R38">
            <v>335.53405572755418</v>
          </cell>
          <cell r="S38">
            <v>0.15678546118224976</v>
          </cell>
        </row>
        <row r="39">
          <cell r="B39" t="str">
            <v>WH909</v>
          </cell>
          <cell r="C39" t="str">
            <v>TREE</v>
          </cell>
          <cell r="D39" t="str">
            <v>WH909 木荷 Schima superba</v>
          </cell>
          <cell r="E39"/>
          <cell r="F39">
            <v>0.11799999999999999</v>
          </cell>
          <cell r="G39">
            <v>24.85</v>
          </cell>
          <cell r="H39">
            <v>4.6600000000000003E-2</v>
          </cell>
          <cell r="I39">
            <v>1.61E-2</v>
          </cell>
          <cell r="J39">
            <v>0.34549356223175964</v>
          </cell>
          <cell r="K39">
            <v>7.4053541631549704</v>
          </cell>
          <cell r="L39">
            <v>7.4869867993670498</v>
          </cell>
          <cell r="M39">
            <v>0.42299999999999999</v>
          </cell>
          <cell r="N39">
            <v>313.952</v>
          </cell>
          <cell r="O39">
            <v>415.32400000000001</v>
          </cell>
          <cell r="P39">
            <v>51.838999999999999</v>
          </cell>
          <cell r="Q39">
            <v>19.500124223602484</v>
          </cell>
          <cell r="R39">
            <v>257.96521739130435</v>
          </cell>
          <cell r="S39">
            <v>0.31057697872258339</v>
          </cell>
        </row>
        <row r="40">
          <cell r="B40" t="str">
            <v>WH910</v>
          </cell>
          <cell r="C40" t="str">
            <v>TREE</v>
          </cell>
          <cell r="D40" t="str">
            <v>WH910 秃瓣杜英 Elaeocarpus glabripetalus</v>
          </cell>
          <cell r="E40"/>
          <cell r="F40">
            <v>0.11799999999999999</v>
          </cell>
          <cell r="G40">
            <v>26.13</v>
          </cell>
          <cell r="H40">
            <v>6.8000000000000005E-2</v>
          </cell>
          <cell r="I40">
            <v>1.95E-2</v>
          </cell>
          <cell r="J40">
            <v>0.28676470588235292</v>
          </cell>
          <cell r="K40">
            <v>10.6955456299053</v>
          </cell>
          <cell r="L40">
            <v>9.8797593722579293</v>
          </cell>
          <cell r="M40">
            <v>0.42399999999999999</v>
          </cell>
          <cell r="N40">
            <v>548.32500000000005</v>
          </cell>
          <cell r="O40">
            <v>725.70899999999995</v>
          </cell>
          <cell r="P40">
            <v>87.117000000000004</v>
          </cell>
          <cell r="Q40">
            <v>28.119230769230771</v>
          </cell>
          <cell r="R40">
            <v>372.15846153846155</v>
          </cell>
          <cell r="S40">
            <v>0.22383690898446917</v>
          </cell>
        </row>
        <row r="41">
          <cell r="B41" t="str">
            <v>WH911</v>
          </cell>
          <cell r="C41" t="str">
            <v>TREE</v>
          </cell>
          <cell r="D41" t="str">
            <v>WH911 赛山梅 Styrax confusus</v>
          </cell>
          <cell r="E41"/>
          <cell r="F41">
            <v>0.11799999999999999</v>
          </cell>
          <cell r="G41">
            <v>26.7</v>
          </cell>
          <cell r="H41">
            <v>9.1300000000000006E-2</v>
          </cell>
          <cell r="I41">
            <v>2.9600000000000001E-2</v>
          </cell>
          <cell r="J41">
            <v>0.32420591456736036</v>
          </cell>
          <cell r="K41">
            <v>9.3610047505253196</v>
          </cell>
          <cell r="L41">
            <v>8.3262738730344701</v>
          </cell>
          <cell r="M41">
            <v>0.44600000000000001</v>
          </cell>
          <cell r="N41">
            <v>554.00900000000001</v>
          </cell>
          <cell r="O41">
            <v>783.995</v>
          </cell>
          <cell r="P41">
            <v>106.453</v>
          </cell>
          <cell r="Q41">
            <v>18.716520270270269</v>
          </cell>
          <cell r="R41">
            <v>264.86317567567568</v>
          </cell>
          <cell r="S41">
            <v>0.27805698289385927</v>
          </cell>
        </row>
        <row r="42">
          <cell r="B42" t="str">
            <v>WH912</v>
          </cell>
          <cell r="C42" t="str">
            <v>TREE</v>
          </cell>
          <cell r="D42" t="str">
            <v>WH912 甜槠 Castanopsis eyrei</v>
          </cell>
          <cell r="E42"/>
          <cell r="F42">
            <v>0.11799999999999999</v>
          </cell>
          <cell r="G42">
            <v>25.05</v>
          </cell>
          <cell r="H42">
            <v>4.7300000000000002E-2</v>
          </cell>
          <cell r="I42">
            <v>2.1600000000000001E-2</v>
          </cell>
          <cell r="J42">
            <v>0.45665961945031713</v>
          </cell>
          <cell r="K42">
            <v>8.5319640518600792</v>
          </cell>
          <cell r="L42">
            <v>8.5010305972104803</v>
          </cell>
          <cell r="M42">
            <v>0.28999999999999998</v>
          </cell>
          <cell r="N42">
            <v>857.452</v>
          </cell>
          <cell r="O42">
            <v>777.803</v>
          </cell>
          <cell r="P42">
            <v>65.072999999999993</v>
          </cell>
          <cell r="Q42">
            <v>39.696851851851847</v>
          </cell>
          <cell r="R42">
            <v>360.09398148148148</v>
          </cell>
          <cell r="S42">
            <v>0.33193490387718416</v>
          </cell>
        </row>
        <row r="43">
          <cell r="B43" t="str">
            <v>WH913</v>
          </cell>
          <cell r="C43" t="str">
            <v>TREE</v>
          </cell>
          <cell r="D43" t="str">
            <v>WH913 鹿角锥 Castanopsis lamontii</v>
          </cell>
          <cell r="E43"/>
          <cell r="F43">
            <v>0.11799999999999999</v>
          </cell>
          <cell r="G43">
            <v>25.6</v>
          </cell>
          <cell r="H43">
            <v>5.0500000000000003E-2</v>
          </cell>
          <cell r="I43">
            <v>2.1299999999999999E-2</v>
          </cell>
          <cell r="J43">
            <v>0.42178217821782177</v>
          </cell>
          <cell r="K43">
            <v>10.4565771791787</v>
          </cell>
          <cell r="L43">
            <v>10.0180016570711</v>
          </cell>
          <cell r="M43">
            <v>0.32200000000000001</v>
          </cell>
          <cell r="N43">
            <v>739.21299999999997</v>
          </cell>
          <cell r="O43">
            <v>744.36500000000001</v>
          </cell>
          <cell r="P43">
            <v>69.266999999999996</v>
          </cell>
          <cell r="Q43">
            <v>34.704835680751174</v>
          </cell>
          <cell r="R43">
            <v>349.46713615023475</v>
          </cell>
          <cell r="S43">
            <v>0.30750573866343284</v>
          </cell>
        </row>
        <row r="44">
          <cell r="B44" t="str">
            <v>WH921</v>
          </cell>
          <cell r="C44" t="str">
            <v>SHRUB</v>
          </cell>
          <cell r="D44" t="str">
            <v>WH921 黄绒润楠 Machilus grijsii</v>
          </cell>
          <cell r="E44"/>
          <cell r="F44">
            <v>0.11799999999999999</v>
          </cell>
          <cell r="G44">
            <v>24.8</v>
          </cell>
          <cell r="H44">
            <v>7.8100000000000003E-2</v>
          </cell>
          <cell r="I44">
            <v>2.5000000000000001E-2</v>
          </cell>
          <cell r="J44">
            <v>0.3201024327784891</v>
          </cell>
          <cell r="K44">
            <v>5.7454742242888299</v>
          </cell>
          <cell r="L44">
            <v>5.8302047367929797</v>
          </cell>
          <cell r="M44">
            <v>0.41399999999999998</v>
          </cell>
          <cell r="N44">
            <v>562.85299999999995</v>
          </cell>
          <cell r="O44">
            <v>731.82</v>
          </cell>
          <cell r="P44">
            <v>87.744</v>
          </cell>
          <cell r="Q44">
            <v>22.514119999999995</v>
          </cell>
          <cell r="R44">
            <v>292.72800000000001</v>
          </cell>
          <cell r="S44">
            <v>0.2849197665937272</v>
          </cell>
        </row>
        <row r="45">
          <cell r="B45" t="str">
            <v>WH922</v>
          </cell>
          <cell r="C45" t="str">
            <v>SHRUB</v>
          </cell>
          <cell r="D45" t="str">
            <v>WH922 尖萼红山茶 Camellia edithae</v>
          </cell>
          <cell r="E45"/>
          <cell r="F45">
            <v>0.11799999999999999</v>
          </cell>
          <cell r="G45">
            <v>26.4</v>
          </cell>
          <cell r="H45">
            <v>9.69E-2</v>
          </cell>
          <cell r="I45">
            <v>2.5700000000000001E-2</v>
          </cell>
          <cell r="J45">
            <v>0.26522187822497423</v>
          </cell>
          <cell r="K45">
            <v>5.4001681678438702</v>
          </cell>
          <cell r="L45">
            <v>4.8988380178383002</v>
          </cell>
          <cell r="M45">
            <v>0.48899999999999999</v>
          </cell>
          <cell r="N45">
            <v>557.58699999999999</v>
          </cell>
          <cell r="O45">
            <v>857.06500000000005</v>
          </cell>
          <cell r="P45">
            <v>115.491</v>
          </cell>
          <cell r="Q45">
            <v>21.69599221789883</v>
          </cell>
          <cell r="R45">
            <v>333.48832684824902</v>
          </cell>
          <cell r="S45">
            <v>0.2225281623676304</v>
          </cell>
        </row>
        <row r="46">
          <cell r="B46" t="str">
            <v>WH923</v>
          </cell>
          <cell r="C46" t="str">
            <v>SHRUB</v>
          </cell>
          <cell r="D46" t="str">
            <v>WH923 凹叶冬青 Ilex championii</v>
          </cell>
          <cell r="E46"/>
          <cell r="F46">
            <v>0.11799999999999999</v>
          </cell>
          <cell r="G46">
            <v>25.7</v>
          </cell>
          <cell r="H46">
            <v>3.3500000000000002E-2</v>
          </cell>
          <cell r="I46">
            <v>1.1299999999999999E-2</v>
          </cell>
          <cell r="J46">
            <v>0.33731343283582088</v>
          </cell>
          <cell r="K46">
            <v>15.363023175054099</v>
          </cell>
          <cell r="L46">
            <v>14.616230276171599</v>
          </cell>
          <cell r="M46">
            <v>0.29799999999999999</v>
          </cell>
          <cell r="N46">
            <v>564.553</v>
          </cell>
          <cell r="O46">
            <v>525.58399999999995</v>
          </cell>
          <cell r="P46">
            <v>48.31</v>
          </cell>
          <cell r="Q46">
            <v>49.960442477876107</v>
          </cell>
          <cell r="R46">
            <v>465.11858407079643</v>
          </cell>
          <cell r="S46">
            <v>0.23390602359759879</v>
          </cell>
        </row>
        <row r="47">
          <cell r="B47" t="str">
            <v>WH924</v>
          </cell>
          <cell r="C47" t="str">
            <v>SHRUB</v>
          </cell>
          <cell r="D47" t="str">
            <v>WH924 细枝柃 Eurya loquaiana</v>
          </cell>
          <cell r="E47"/>
          <cell r="F47">
            <v>0.11799999999999999</v>
          </cell>
          <cell r="G47">
            <v>25.85</v>
          </cell>
          <cell r="H47">
            <v>3.6499999999999998E-2</v>
          </cell>
          <cell r="I47">
            <v>1.26E-2</v>
          </cell>
          <cell r="J47">
            <v>0.34520547945205482</v>
          </cell>
          <cell r="K47">
            <v>10.3871719801902</v>
          </cell>
          <cell r="L47">
            <v>9.7801112826355503</v>
          </cell>
          <cell r="M47">
            <v>0.313</v>
          </cell>
          <cell r="N47">
            <v>428.51799999999997</v>
          </cell>
          <cell r="O47">
            <v>419.81700000000001</v>
          </cell>
          <cell r="P47">
            <v>39.292999999999999</v>
          </cell>
          <cell r="Q47">
            <v>34.009365079365075</v>
          </cell>
          <cell r="R47">
            <v>333.18809523809523</v>
          </cell>
          <cell r="S47">
            <v>0.32066780342554652</v>
          </cell>
        </row>
        <row r="48">
          <cell r="B48" t="str">
            <v>WH925</v>
          </cell>
          <cell r="C48" t="str">
            <v>SHRUB</v>
          </cell>
          <cell r="D48" t="str">
            <v>WH925 滑皮柯 Lithocarpus skanianus</v>
          </cell>
          <cell r="E48"/>
          <cell r="F48">
            <v>0.11799999999999999</v>
          </cell>
          <cell r="G48">
            <v>26.8</v>
          </cell>
          <cell r="H48">
            <v>0.1444</v>
          </cell>
          <cell r="I48">
            <v>3.3700000000000001E-2</v>
          </cell>
          <cell r="J48">
            <v>0.23337950138504154</v>
          </cell>
          <cell r="K48">
            <v>10.084749126500901</v>
          </cell>
          <cell r="L48">
            <v>8.9121320920660292</v>
          </cell>
          <cell r="M48">
            <v>0.65800000000000003</v>
          </cell>
          <cell r="N48">
            <v>457.11200000000002</v>
          </cell>
          <cell r="O48">
            <v>944.26199999999994</v>
          </cell>
          <cell r="P48">
            <v>166.58500000000001</v>
          </cell>
          <cell r="Q48">
            <v>13.564154302670623</v>
          </cell>
          <cell r="R48">
            <v>280.19643916913947</v>
          </cell>
          <cell r="S48">
            <v>0.20229912657202029</v>
          </cell>
        </row>
        <row r="49">
          <cell r="B49" t="str">
            <v>WH926</v>
          </cell>
          <cell r="C49" t="str">
            <v>SHRUB</v>
          </cell>
          <cell r="D49" t="str">
            <v>WH926 杨桐 Adinandra millettii</v>
          </cell>
          <cell r="E49"/>
          <cell r="F49">
            <v>0.11799999999999999</v>
          </cell>
          <cell r="G49">
            <v>25.6</v>
          </cell>
          <cell r="H49">
            <v>2.93E-2</v>
          </cell>
          <cell r="I49">
            <v>8.8999999999999999E-3</v>
          </cell>
          <cell r="J49">
            <v>0.30375426621160412</v>
          </cell>
          <cell r="K49">
            <v>17.1338914963852</v>
          </cell>
          <cell r="L49">
            <v>16.415252377675699</v>
          </cell>
          <cell r="M49">
            <v>0.31</v>
          </cell>
          <cell r="N49">
            <v>473.81900000000002</v>
          </cell>
          <cell r="O49">
            <v>459.63</v>
          </cell>
          <cell r="P49">
            <v>42.426000000000002</v>
          </cell>
          <cell r="Q49">
            <v>53.238089887640449</v>
          </cell>
          <cell r="R49">
            <v>516.43820224719104</v>
          </cell>
          <cell r="S49">
            <v>0.20977702352331115</v>
          </cell>
        </row>
        <row r="50">
          <cell r="B50" t="str">
            <v>WH927</v>
          </cell>
          <cell r="C50" t="str">
            <v>SHRUB</v>
          </cell>
          <cell r="D50" t="str">
            <v>WH927 檵木 Loropetalum chinense</v>
          </cell>
          <cell r="E50"/>
          <cell r="F50">
            <v>0.11799999999999999</v>
          </cell>
          <cell r="G50">
            <v>26.15</v>
          </cell>
          <cell r="H50">
            <v>4.3999999999999997E-2</v>
          </cell>
          <cell r="I50">
            <v>1.5299999999999999E-2</v>
          </cell>
          <cell r="J50">
            <v>0.34772727272727272</v>
          </cell>
          <cell r="K50">
            <v>12.7642435325901</v>
          </cell>
          <cell r="L50">
            <v>11.774742740246101</v>
          </cell>
          <cell r="M50">
            <v>0.39700000000000002</v>
          </cell>
          <cell r="N50">
            <v>494.34800000000001</v>
          </cell>
          <cell r="O50">
            <v>613.86099999999999</v>
          </cell>
          <cell r="P50">
            <v>71.233999999999995</v>
          </cell>
          <cell r="Q50">
            <v>32.310326797385621</v>
          </cell>
          <cell r="R50">
            <v>401.21633986928106</v>
          </cell>
          <cell r="S50">
            <v>0.21478507454305529</v>
          </cell>
        </row>
        <row r="51">
          <cell r="B51" t="str">
            <v>WH928</v>
          </cell>
          <cell r="C51" t="str">
            <v>SHRUB</v>
          </cell>
          <cell r="D51" t="str">
            <v>WH928 茶 Camellia sinensis</v>
          </cell>
          <cell r="E51"/>
          <cell r="F51">
            <v>0.11799999999999999</v>
          </cell>
          <cell r="G51">
            <v>26</v>
          </cell>
          <cell r="H51">
            <v>7.5499999999999998E-2</v>
          </cell>
          <cell r="I51">
            <v>1.7000000000000001E-2</v>
          </cell>
          <cell r="J51">
            <v>0.2251655629139073</v>
          </cell>
          <cell r="K51">
            <v>9.4542910725809808</v>
          </cell>
          <cell r="L51">
            <v>8.8106493659118996</v>
          </cell>
          <cell r="M51">
            <v>0.41799999999999998</v>
          </cell>
          <cell r="N51">
            <v>595.52200000000005</v>
          </cell>
          <cell r="O51">
            <v>783.66800000000001</v>
          </cell>
          <cell r="P51">
            <v>91.212000000000003</v>
          </cell>
          <cell r="Q51">
            <v>35.03070588235294</v>
          </cell>
          <cell r="R51">
            <v>460.9811764705882</v>
          </cell>
          <cell r="S51">
            <v>0.18637898522124283</v>
          </cell>
        </row>
        <row r="52">
          <cell r="B52" t="str">
            <v>WH929</v>
          </cell>
          <cell r="C52" t="str">
            <v>SHRUB</v>
          </cell>
          <cell r="D52" t="str">
            <v>WH929 中华杜英 Elaeocarpus chinensis</v>
          </cell>
          <cell r="E52"/>
          <cell r="F52">
            <v>0.11799999999999999</v>
          </cell>
          <cell r="G52">
            <v>26.15</v>
          </cell>
          <cell r="H52">
            <v>6.4899999999999999E-2</v>
          </cell>
          <cell r="I52">
            <v>1.7999999999999999E-2</v>
          </cell>
          <cell r="J52">
            <v>0.27734976887519258</v>
          </cell>
          <cell r="K52">
            <v>3.2710336193257499</v>
          </cell>
          <cell r="L52">
            <v>3.0174588305148999</v>
          </cell>
          <cell r="M52">
            <v>0.36099999999999999</v>
          </cell>
          <cell r="N52">
            <v>863.03200000000004</v>
          </cell>
          <cell r="O52">
            <v>969.60400000000004</v>
          </cell>
          <cell r="P52">
            <v>102.696</v>
          </cell>
          <cell r="Q52">
            <v>47.946222222222225</v>
          </cell>
          <cell r="R52">
            <v>538.66888888888889</v>
          </cell>
          <cell r="S52">
            <v>0.1752745968684272</v>
          </cell>
        </row>
        <row r="53">
          <cell r="B53" t="str">
            <v>WH930</v>
          </cell>
          <cell r="C53" t="str">
            <v>SHRUB</v>
          </cell>
          <cell r="D53" t="str">
            <v>WH930 少花海桐 Pittosporum pauciflorum</v>
          </cell>
          <cell r="E53"/>
          <cell r="F53">
            <v>0.11799999999999999</v>
          </cell>
          <cell r="G53">
            <v>24.1</v>
          </cell>
          <cell r="H53">
            <v>5.1299999999999998E-2</v>
          </cell>
          <cell r="I53">
            <v>1.37E-2</v>
          </cell>
          <cell r="J53">
            <v>0.26705653021442499</v>
          </cell>
          <cell r="K53">
            <v>3.26154357903954</v>
          </cell>
          <cell r="L53">
            <v>3.4884663031182002</v>
          </cell>
          <cell r="M53">
            <v>0.32600000000000001</v>
          </cell>
          <cell r="N53">
            <v>742.99599999999998</v>
          </cell>
          <cell r="O53">
            <v>758.89</v>
          </cell>
          <cell r="P53">
            <v>70.563999999999993</v>
          </cell>
          <cell r="Q53">
            <v>54.233284671532843</v>
          </cell>
          <cell r="R53">
            <v>553.93430656934299</v>
          </cell>
          <cell r="S53">
            <v>0.1941499914970807</v>
          </cell>
        </row>
        <row r="54">
          <cell r="B54" t="str">
            <v>WH931</v>
          </cell>
          <cell r="C54" t="str">
            <v>LIANA</v>
          </cell>
          <cell r="D54" t="str">
            <v>WH931 五月瓜藤 Holboellia angustifolia</v>
          </cell>
          <cell r="E54" t="str">
            <v>不测</v>
          </cell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B55" t="str">
            <v>WH932</v>
          </cell>
          <cell r="C55" t="str">
            <v>LIANA</v>
          </cell>
          <cell r="D55" t="str">
            <v>WH932 瓜馥木 Fissistigma oldhamii</v>
          </cell>
          <cell r="E55"/>
          <cell r="F55">
            <v>0.11799999999999999</v>
          </cell>
          <cell r="G55">
            <v>25.57</v>
          </cell>
          <cell r="H55">
            <v>0.11849999999999999</v>
          </cell>
          <cell r="I55">
            <v>2.3599999999999999E-2</v>
          </cell>
          <cell r="J55">
            <v>0.19915611814345993</v>
          </cell>
          <cell r="K55">
            <v>11.091596776091601</v>
          </cell>
          <cell r="L55">
            <v>10.648767049467001</v>
          </cell>
          <cell r="M55">
            <v>0.71899999999999997</v>
          </cell>
          <cell r="N55">
            <v>309.745</v>
          </cell>
          <cell r="O55">
            <v>701.48599999999999</v>
          </cell>
          <cell r="P55">
            <v>134.447</v>
          </cell>
          <cell r="Q55">
            <v>13.124788135593221</v>
          </cell>
          <cell r="R55">
            <v>297.23983050847454</v>
          </cell>
          <cell r="S55">
            <v>0.17553385348873532</v>
          </cell>
        </row>
      </sheetData>
      <sheetData sheetId="7">
        <row r="1">
          <cell r="B1" t="str">
            <v>SampleID</v>
          </cell>
        </row>
      </sheetData>
      <sheetData sheetId="8">
        <row r="1">
          <cell r="C1" t="str">
            <v>SampleID</v>
          </cell>
        </row>
      </sheetData>
      <sheetData sheetId="9">
        <row r="1">
          <cell r="C1" t="str">
            <v>SampleID</v>
          </cell>
        </row>
      </sheetData>
      <sheetData sheetId="10">
        <row r="1">
          <cell r="C1" t="str">
            <v>SampleID</v>
          </cell>
          <cell r="D1" t="str">
            <v>鲜重(g)</v>
          </cell>
          <cell r="E1" t="str">
            <v>干重（g）</v>
          </cell>
          <cell r="F1" t="str">
            <v>求和项:面积（mm2）</v>
          </cell>
          <cell r="G1" t="str">
            <v>SLA（cm2/g）</v>
          </cell>
          <cell r="H1" t="str">
            <v>SWC_leaf（g/g）</v>
          </cell>
          <cell r="I1" t="str">
            <v>LA(cm2)</v>
          </cell>
        </row>
        <row r="2">
          <cell r="C2" t="str">
            <v>SH001A</v>
          </cell>
          <cell r="D2">
            <v>11.282999999999999</v>
          </cell>
          <cell r="E2">
            <v>4.7590000000000003</v>
          </cell>
          <cell r="F2">
            <v>30203.55</v>
          </cell>
          <cell r="G2">
            <v>63.4661693633116</v>
          </cell>
          <cell r="H2">
            <v>0.57821501373748108</v>
          </cell>
          <cell r="I2">
            <v>30.20355</v>
          </cell>
        </row>
        <row r="3">
          <cell r="C3" t="str">
            <v>SH001B</v>
          </cell>
          <cell r="D3">
            <v>10.012</v>
          </cell>
          <cell r="E3">
            <v>3.9</v>
          </cell>
          <cell r="F3">
            <v>29017.57</v>
          </cell>
          <cell r="G3">
            <v>74.404025641025697</v>
          </cell>
          <cell r="H3">
            <v>0.61046743907311229</v>
          </cell>
          <cell r="I3">
            <v>29.017569999999999</v>
          </cell>
        </row>
        <row r="4">
          <cell r="C4" t="str">
            <v>SH001C</v>
          </cell>
          <cell r="D4">
            <v>12.583</v>
          </cell>
          <cell r="E4">
            <v>5.1609999999999996</v>
          </cell>
          <cell r="F4">
            <v>33799.99</v>
          </cell>
          <cell r="G4">
            <v>65.491164503003304</v>
          </cell>
          <cell r="H4">
            <v>0.58984343956131291</v>
          </cell>
          <cell r="I4">
            <v>33.799990000000001</v>
          </cell>
        </row>
        <row r="5">
          <cell r="C5" t="str">
            <v>SH002A</v>
          </cell>
          <cell r="D5">
            <v>3.915</v>
          </cell>
          <cell r="E5">
            <v>1.403</v>
          </cell>
          <cell r="F5">
            <v>19156.79</v>
          </cell>
          <cell r="G5">
            <v>136.54162508909499</v>
          </cell>
          <cell r="H5">
            <v>0.64163473818646233</v>
          </cell>
          <cell r="I5">
            <v>19.156790000000001</v>
          </cell>
        </row>
        <row r="6">
          <cell r="C6" t="str">
            <v>SH002B</v>
          </cell>
          <cell r="D6">
            <v>8.0280000000000005</v>
          </cell>
          <cell r="E6">
            <v>3.0089999999999999</v>
          </cell>
          <cell r="F6">
            <v>36437.65</v>
          </cell>
          <cell r="G6">
            <v>121.09554669325399</v>
          </cell>
          <cell r="H6">
            <v>0.62518684603886399</v>
          </cell>
          <cell r="I6">
            <v>36.437650000000005</v>
          </cell>
        </row>
        <row r="7">
          <cell r="C7" t="str">
            <v>SH002C</v>
          </cell>
          <cell r="D7">
            <v>5.71</v>
          </cell>
          <cell r="E7">
            <v>1.895</v>
          </cell>
          <cell r="F7">
            <v>28245.3</v>
          </cell>
          <cell r="G7">
            <v>149.051715039578</v>
          </cell>
          <cell r="H7">
            <v>0.6681260945709282</v>
          </cell>
          <cell r="I7">
            <v>28.245299999999997</v>
          </cell>
        </row>
        <row r="8">
          <cell r="C8" t="str">
            <v>SH003A</v>
          </cell>
          <cell r="D8">
            <v>4.5199999999999996</v>
          </cell>
          <cell r="E8">
            <v>1.992</v>
          </cell>
          <cell r="F8">
            <v>16441.98</v>
          </cell>
          <cell r="G8">
            <v>82.540060240963896</v>
          </cell>
          <cell r="H8">
            <v>0.55929203539823003</v>
          </cell>
          <cell r="I8">
            <v>16.441979999999997</v>
          </cell>
        </row>
        <row r="9">
          <cell r="C9" t="str">
            <v>SH003B</v>
          </cell>
          <cell r="D9">
            <v>5.4809999999999999</v>
          </cell>
          <cell r="E9">
            <v>2.7280000000000002</v>
          </cell>
          <cell r="F9">
            <v>19639.82</v>
          </cell>
          <cell r="G9">
            <v>71.993475073313803</v>
          </cell>
          <cell r="H9">
            <v>0.50228060572888156</v>
          </cell>
          <cell r="I9">
            <v>19.63982</v>
          </cell>
        </row>
        <row r="10">
          <cell r="C10" t="str">
            <v>SH003C</v>
          </cell>
          <cell r="D10">
            <v>5.6150000000000002</v>
          </cell>
          <cell r="E10">
            <v>2.6859999999999999</v>
          </cell>
          <cell r="F10">
            <v>21449.93</v>
          </cell>
          <cell r="G10">
            <v>79.858265078183194</v>
          </cell>
          <cell r="H10">
            <v>0.52163846838824579</v>
          </cell>
          <cell r="I10">
            <v>21.449929999999998</v>
          </cell>
        </row>
        <row r="11">
          <cell r="C11" t="str">
            <v>SH004A</v>
          </cell>
          <cell r="D11">
            <v>4.7759999999999998</v>
          </cell>
          <cell r="E11">
            <v>1.778</v>
          </cell>
          <cell r="F11">
            <v>25169.96</v>
          </cell>
          <cell r="G11">
            <v>141.56332958380199</v>
          </cell>
          <cell r="H11">
            <v>0.6277219430485762</v>
          </cell>
          <cell r="I11">
            <v>25.16996</v>
          </cell>
        </row>
        <row r="12">
          <cell r="C12" t="str">
            <v>SH005A</v>
          </cell>
          <cell r="D12">
            <v>4.9489999999999998</v>
          </cell>
          <cell r="E12">
            <v>2.056</v>
          </cell>
          <cell r="F12">
            <v>20032.98</v>
          </cell>
          <cell r="G12">
            <v>97.436673151750995</v>
          </cell>
          <cell r="H12">
            <v>0.58456253788644164</v>
          </cell>
          <cell r="I12">
            <v>20.032979999999998</v>
          </cell>
        </row>
        <row r="13">
          <cell r="C13" t="str">
            <v>SH005B</v>
          </cell>
          <cell r="D13">
            <v>4.42</v>
          </cell>
          <cell r="E13">
            <v>1.7609999999999999</v>
          </cell>
          <cell r="F13">
            <v>17325.18</v>
          </cell>
          <cell r="G13">
            <v>98.382623509369694</v>
          </cell>
          <cell r="H13">
            <v>0.60158371040723979</v>
          </cell>
          <cell r="I13">
            <v>17.32518</v>
          </cell>
        </row>
        <row r="14">
          <cell r="C14" t="str">
            <v>SH005C</v>
          </cell>
          <cell r="D14">
            <v>4.3860000000000001</v>
          </cell>
          <cell r="E14">
            <v>1.6539999999999999</v>
          </cell>
          <cell r="F14">
            <v>21086.43</v>
          </cell>
          <cell r="G14">
            <v>127.487484885127</v>
          </cell>
          <cell r="H14">
            <v>0.6228910168718651</v>
          </cell>
          <cell r="I14">
            <v>21.08643</v>
          </cell>
        </row>
        <row r="15">
          <cell r="C15" t="str">
            <v>SH006A</v>
          </cell>
          <cell r="D15">
            <v>2.7559999999999998</v>
          </cell>
          <cell r="E15">
            <v>1.393</v>
          </cell>
          <cell r="F15">
            <v>9993.43</v>
          </cell>
          <cell r="G15">
            <v>71.7403445800431</v>
          </cell>
          <cell r="H15">
            <v>0.4945573294629898</v>
          </cell>
          <cell r="I15">
            <v>9.99343</v>
          </cell>
        </row>
        <row r="16">
          <cell r="C16" t="str">
            <v>SH006B</v>
          </cell>
          <cell r="D16">
            <v>2.0299999999999998</v>
          </cell>
          <cell r="E16">
            <v>0.94</v>
          </cell>
          <cell r="F16">
            <v>9175.67</v>
          </cell>
          <cell r="G16">
            <v>97.613510638297896</v>
          </cell>
          <cell r="H16">
            <v>0.53694581280788178</v>
          </cell>
          <cell r="I16">
            <v>9.1756700000000002</v>
          </cell>
        </row>
        <row r="17">
          <cell r="C17" t="str">
            <v>SH006C</v>
          </cell>
          <cell r="D17">
            <v>2.1880000000000002</v>
          </cell>
          <cell r="E17">
            <v>0.99399999999999999</v>
          </cell>
          <cell r="F17">
            <v>9486.2900000000009</v>
          </cell>
          <cell r="G17">
            <v>95.435513078470805</v>
          </cell>
          <cell r="H17">
            <v>0.54570383912248632</v>
          </cell>
          <cell r="I17">
            <v>9.4862900000000021</v>
          </cell>
        </row>
        <row r="18">
          <cell r="C18" t="str">
            <v>SH007A</v>
          </cell>
          <cell r="D18">
            <v>8.6910000000000007</v>
          </cell>
          <cell r="E18">
            <v>4.0339999999999998</v>
          </cell>
          <cell r="F18">
            <v>26712.31</v>
          </cell>
          <cell r="G18">
            <v>66.217922657412004</v>
          </cell>
          <cell r="H18">
            <v>0.53584167529628357</v>
          </cell>
          <cell r="I18">
            <v>26.712310000000002</v>
          </cell>
        </row>
        <row r="19">
          <cell r="C19" t="str">
            <v>SH007B</v>
          </cell>
          <cell r="D19">
            <v>5.95</v>
          </cell>
          <cell r="E19">
            <v>2.7669999999999999</v>
          </cell>
          <cell r="F19">
            <v>21821.69</v>
          </cell>
          <cell r="G19">
            <v>78.864076617275003</v>
          </cell>
          <cell r="H19">
            <v>0.53495798319327736</v>
          </cell>
          <cell r="I19">
            <v>21.82169</v>
          </cell>
        </row>
        <row r="20">
          <cell r="C20" t="str">
            <v>SH007C</v>
          </cell>
          <cell r="D20">
            <v>6.2030000000000003</v>
          </cell>
          <cell r="E20">
            <v>2.9260000000000002</v>
          </cell>
          <cell r="F20">
            <v>23855.8</v>
          </cell>
          <cell r="G20">
            <v>81.530416951469604</v>
          </cell>
          <cell r="H20">
            <v>0.52829276156698368</v>
          </cell>
          <cell r="I20">
            <v>23.855799999999999</v>
          </cell>
        </row>
        <row r="21">
          <cell r="C21" t="str">
            <v>SH009A</v>
          </cell>
          <cell r="D21">
            <v>2.7909999999999999</v>
          </cell>
          <cell r="E21">
            <v>0.95299999999999996</v>
          </cell>
          <cell r="F21">
            <v>18060.5</v>
          </cell>
          <cell r="G21">
            <v>189.512067156348</v>
          </cell>
          <cell r="H21">
            <v>0.65854532425653889</v>
          </cell>
          <cell r="I21">
            <v>18.060500000000001</v>
          </cell>
        </row>
        <row r="22">
          <cell r="C22" t="str">
            <v>SH009B</v>
          </cell>
          <cell r="D22">
            <v>5.3529999999999998</v>
          </cell>
          <cell r="E22">
            <v>1.903</v>
          </cell>
          <cell r="F22">
            <v>29153.119999999999</v>
          </cell>
          <cell r="G22">
            <v>153.19558591697299</v>
          </cell>
          <cell r="H22">
            <v>0.64449841210536141</v>
          </cell>
          <cell r="I22">
            <v>29.153119999999998</v>
          </cell>
        </row>
        <row r="23">
          <cell r="C23" t="str">
            <v>SH009C</v>
          </cell>
          <cell r="D23">
            <v>4.1479999999999997</v>
          </cell>
          <cell r="E23">
            <v>1.4570000000000001</v>
          </cell>
          <cell r="F23">
            <v>22967.52</v>
          </cell>
          <cell r="G23">
            <v>157.63568977350701</v>
          </cell>
          <cell r="H23">
            <v>0.6487463837994214</v>
          </cell>
          <cell r="I23">
            <v>22.96752</v>
          </cell>
        </row>
        <row r="24">
          <cell r="C24" t="str">
            <v>SH010A</v>
          </cell>
          <cell r="D24">
            <v>4.2320000000000002</v>
          </cell>
          <cell r="E24">
            <v>1.6879999999999999</v>
          </cell>
          <cell r="F24">
            <v>16896.52</v>
          </cell>
          <cell r="G24">
            <v>100.097867298578</v>
          </cell>
          <cell r="H24">
            <v>0.60113421550094526</v>
          </cell>
          <cell r="I24">
            <v>16.896519999999999</v>
          </cell>
        </row>
        <row r="25">
          <cell r="C25" t="str">
            <v>SH010B</v>
          </cell>
          <cell r="D25">
            <v>4.4210000000000003</v>
          </cell>
          <cell r="E25">
            <v>1.778</v>
          </cell>
          <cell r="F25">
            <v>18655.84</v>
          </cell>
          <cell r="G25">
            <v>104.925984251969</v>
          </cell>
          <cell r="H25">
            <v>0.59782854557792353</v>
          </cell>
          <cell r="I25">
            <v>18.655840000000001</v>
          </cell>
        </row>
        <row r="26">
          <cell r="C26" t="str">
            <v>SH010C</v>
          </cell>
          <cell r="D26">
            <v>3.367</v>
          </cell>
          <cell r="E26">
            <v>1.21</v>
          </cell>
          <cell r="F26">
            <v>14198.71</v>
          </cell>
          <cell r="G26">
            <v>117.344710743802</v>
          </cell>
          <cell r="H26">
            <v>0.64062964062964067</v>
          </cell>
          <cell r="I26">
            <v>14.198709999999998</v>
          </cell>
        </row>
        <row r="27">
          <cell r="C27" t="str">
            <v>SH011A</v>
          </cell>
          <cell r="D27">
            <v>7.4279999999999999</v>
          </cell>
          <cell r="E27">
            <v>3.2210000000000001</v>
          </cell>
          <cell r="F27">
            <v>30465.62</v>
          </cell>
          <cell r="G27">
            <v>94.584352685501401</v>
          </cell>
          <cell r="H27">
            <v>0.56637049003769524</v>
          </cell>
          <cell r="I27">
            <v>30.465619999999998</v>
          </cell>
        </row>
        <row r="28">
          <cell r="C28" t="str">
            <v>SH011B</v>
          </cell>
          <cell r="D28">
            <v>6.2880000000000003</v>
          </cell>
          <cell r="E28">
            <v>2.8290000000000002</v>
          </cell>
          <cell r="F28">
            <v>22069.25</v>
          </cell>
          <cell r="G28">
            <v>78.010781194768498</v>
          </cell>
          <cell r="H28">
            <v>0.55009541984732824</v>
          </cell>
          <cell r="I28">
            <v>22.06925</v>
          </cell>
        </row>
        <row r="29">
          <cell r="C29" t="str">
            <v>SH011C</v>
          </cell>
          <cell r="D29">
            <v>8.1859999999999999</v>
          </cell>
          <cell r="E29">
            <v>2.9430000000000001</v>
          </cell>
          <cell r="F29">
            <v>36808.9</v>
          </cell>
          <cell r="G29">
            <v>125.07271491675201</v>
          </cell>
          <cell r="H29">
            <v>0.64048375274859526</v>
          </cell>
          <cell r="I29">
            <v>36.808900000000001</v>
          </cell>
        </row>
        <row r="30">
          <cell r="C30" t="str">
            <v>SH012A</v>
          </cell>
          <cell r="D30">
            <v>1.3320000000000001</v>
          </cell>
          <cell r="E30">
            <v>0.47399999999999998</v>
          </cell>
          <cell r="F30">
            <v>6390.08</v>
          </cell>
          <cell r="G30">
            <v>134.81181434599199</v>
          </cell>
          <cell r="H30">
            <v>0.64414414414414423</v>
          </cell>
          <cell r="I30">
            <v>6.3900800000000002</v>
          </cell>
        </row>
        <row r="31">
          <cell r="C31" t="str">
            <v>SH012B</v>
          </cell>
          <cell r="D31">
            <v>1.1879999999999999</v>
          </cell>
          <cell r="E31">
            <v>0.51800000000000002</v>
          </cell>
          <cell r="F31">
            <v>4577.43</v>
          </cell>
          <cell r="G31">
            <v>88.3673745173745</v>
          </cell>
          <cell r="H31">
            <v>0.5639730639730639</v>
          </cell>
          <cell r="I31">
            <v>4.5774300000000006</v>
          </cell>
        </row>
        <row r="32">
          <cell r="C32" t="str">
            <v>SH012C</v>
          </cell>
          <cell r="D32">
            <v>1.7669999999999999</v>
          </cell>
          <cell r="E32">
            <v>0.71699999999999997</v>
          </cell>
          <cell r="F32">
            <v>8225.6200000000008</v>
          </cell>
          <cell r="G32">
            <v>114.722733612273</v>
          </cell>
          <cell r="H32">
            <v>0.59422750424448212</v>
          </cell>
          <cell r="I32">
            <v>8.225620000000001</v>
          </cell>
        </row>
        <row r="33">
          <cell r="C33" t="str">
            <v>SH013A</v>
          </cell>
          <cell r="D33">
            <v>1.115</v>
          </cell>
          <cell r="E33">
            <v>0.52800000000000002</v>
          </cell>
          <cell r="F33">
            <v>11376.72</v>
          </cell>
          <cell r="G33">
            <v>215.46818181818199</v>
          </cell>
          <cell r="H33">
            <v>0.52645739910313893</v>
          </cell>
          <cell r="I33">
            <v>11.376720000000001</v>
          </cell>
        </row>
        <row r="34">
          <cell r="C34" t="str">
            <v>SH013B</v>
          </cell>
          <cell r="D34">
            <v>1.0820000000000001</v>
          </cell>
          <cell r="E34">
            <v>0.40899999999999997</v>
          </cell>
          <cell r="F34">
            <v>8338.77</v>
          </cell>
          <cell r="G34">
            <v>203.88190709046501</v>
          </cell>
          <cell r="H34">
            <v>0.62199630314232901</v>
          </cell>
          <cell r="I34">
            <v>8.3387700000000002</v>
          </cell>
        </row>
        <row r="35">
          <cell r="C35" t="str">
            <v>SH013C</v>
          </cell>
          <cell r="D35">
            <v>1.2170000000000001</v>
          </cell>
          <cell r="E35">
            <v>0.42299999999999999</v>
          </cell>
          <cell r="F35">
            <v>9938.91</v>
          </cell>
          <cell r="G35">
            <v>234.96241134751801</v>
          </cell>
          <cell r="H35">
            <v>0.65242399342645852</v>
          </cell>
          <cell r="I35">
            <v>9.9389099999999999</v>
          </cell>
        </row>
        <row r="36">
          <cell r="C36" t="str">
            <v>SH014A</v>
          </cell>
          <cell r="D36">
            <v>0.61299999999999999</v>
          </cell>
          <cell r="E36">
            <v>0.23899999999999999</v>
          </cell>
          <cell r="F36">
            <v>3429.28</v>
          </cell>
          <cell r="G36">
            <v>143.484518828452</v>
          </cell>
          <cell r="H36">
            <v>0.61011419249592169</v>
          </cell>
          <cell r="I36">
            <v>3.4292799999999999</v>
          </cell>
        </row>
        <row r="37">
          <cell r="C37" t="str">
            <v>SH021</v>
          </cell>
          <cell r="D37">
            <v>7.9219999999999997</v>
          </cell>
          <cell r="E37">
            <v>3.6869999999999998</v>
          </cell>
          <cell r="F37">
            <v>36137.050000000003</v>
          </cell>
          <cell r="G37">
            <v>98.012069433143495</v>
          </cell>
          <cell r="H37">
            <v>0.5345872254481191</v>
          </cell>
          <cell r="I37">
            <v>36.137050000000002</v>
          </cell>
        </row>
        <row r="38">
          <cell r="C38" t="str">
            <v>SH022</v>
          </cell>
          <cell r="D38">
            <v>1.181</v>
          </cell>
          <cell r="E38">
            <v>0.44800000000000001</v>
          </cell>
          <cell r="F38">
            <v>8070.03</v>
          </cell>
          <cell r="G38">
            <v>180.134598214286</v>
          </cell>
          <cell r="H38">
            <v>0.62066045723962748</v>
          </cell>
          <cell r="I38">
            <v>8.0700299999999991</v>
          </cell>
        </row>
        <row r="39">
          <cell r="C39" t="str">
            <v>SH023</v>
          </cell>
          <cell r="D39">
            <v>4.0659999999999998</v>
          </cell>
          <cell r="E39">
            <v>1.1160000000000001</v>
          </cell>
          <cell r="F39">
            <v>16252.64</v>
          </cell>
          <cell r="G39">
            <v>145.63297491039401</v>
          </cell>
          <cell r="H39">
            <v>0.72552877520905068</v>
          </cell>
          <cell r="I39">
            <v>16.25264</v>
          </cell>
        </row>
        <row r="40">
          <cell r="C40" t="str">
            <v>SH024</v>
          </cell>
          <cell r="D40">
            <v>0.9</v>
          </cell>
          <cell r="E40">
            <v>0.20799999999999999</v>
          </cell>
          <cell r="F40">
            <v>7302.49</v>
          </cell>
          <cell r="G40">
            <v>351.08125000000001</v>
          </cell>
          <cell r="H40">
            <v>0.76888888888888896</v>
          </cell>
          <cell r="I40">
            <v>7.3024900000000006</v>
          </cell>
        </row>
        <row r="41">
          <cell r="C41" t="str">
            <v>SH025</v>
          </cell>
          <cell r="D41">
            <v>2.5150000000000001</v>
          </cell>
          <cell r="E41">
            <v>0.97299999999999998</v>
          </cell>
          <cell r="F41">
            <v>11134.9</v>
          </cell>
          <cell r="G41">
            <v>114.43884892086299</v>
          </cell>
          <cell r="H41">
            <v>0.61312127236580527</v>
          </cell>
          <cell r="I41">
            <v>11.1349</v>
          </cell>
        </row>
        <row r="42">
          <cell r="C42" t="str">
            <v>SH026</v>
          </cell>
          <cell r="D42">
            <v>4.6539999999999999</v>
          </cell>
          <cell r="E42">
            <v>1.482</v>
          </cell>
          <cell r="F42">
            <v>21994.19</v>
          </cell>
          <cell r="G42">
            <v>148.40883940620799</v>
          </cell>
          <cell r="H42">
            <v>0.68156424581005581</v>
          </cell>
          <cell r="I42">
            <v>21.99419</v>
          </cell>
        </row>
        <row r="43">
          <cell r="C43" t="str">
            <v>SH027</v>
          </cell>
          <cell r="D43">
            <v>1.7809999999999999</v>
          </cell>
          <cell r="E43">
            <v>0.55400000000000005</v>
          </cell>
          <cell r="F43">
            <v>14001.79</v>
          </cell>
          <cell r="G43">
            <v>252.73989169675099</v>
          </cell>
          <cell r="H43">
            <v>0.68893879842784944</v>
          </cell>
          <cell r="I43">
            <v>14.001790000000002</v>
          </cell>
        </row>
        <row r="44">
          <cell r="C44" t="str">
            <v>SH028</v>
          </cell>
          <cell r="D44">
            <v>8.2629999999999999</v>
          </cell>
          <cell r="E44">
            <v>3.7160000000000002</v>
          </cell>
          <cell r="F44">
            <v>33452.160000000003</v>
          </cell>
          <cell r="G44">
            <v>90.021959095801904</v>
          </cell>
          <cell r="H44">
            <v>0.55028440033885995</v>
          </cell>
          <cell r="I44">
            <v>33.452160000000006</v>
          </cell>
        </row>
        <row r="45">
          <cell r="C45" t="str">
            <v>SH029</v>
          </cell>
          <cell r="D45">
            <v>1.173</v>
          </cell>
          <cell r="E45">
            <v>0.44900000000000001</v>
          </cell>
          <cell r="F45">
            <v>6124.44</v>
          </cell>
          <cell r="G45">
            <v>136.401781737194</v>
          </cell>
          <cell r="H45">
            <v>0.6172208013640238</v>
          </cell>
          <cell r="I45">
            <v>6.1244399999999999</v>
          </cell>
        </row>
        <row r="46">
          <cell r="C46" t="str">
            <v>SH030</v>
          </cell>
          <cell r="D46">
            <v>5.399</v>
          </cell>
          <cell r="E46">
            <v>2.4969999999999999</v>
          </cell>
          <cell r="F46">
            <v>26480.65</v>
          </cell>
          <cell r="G46">
            <v>106.049859831798</v>
          </cell>
          <cell r="H46">
            <v>0.53750694573069091</v>
          </cell>
          <cell r="I46">
            <v>26.480650000000001</v>
          </cell>
        </row>
        <row r="47">
          <cell r="C47" t="str">
            <v>SH031</v>
          </cell>
          <cell r="D47">
            <v>1.1659999999999999</v>
          </cell>
          <cell r="E47">
            <v>0.52</v>
          </cell>
          <cell r="F47">
            <v>5317.35</v>
          </cell>
          <cell r="G47">
            <v>102.256730769231</v>
          </cell>
          <cell r="H47">
            <v>0.55403087478559176</v>
          </cell>
          <cell r="I47">
            <v>5.3173500000000002</v>
          </cell>
        </row>
        <row r="48">
          <cell r="C48" t="str">
            <v>SH032</v>
          </cell>
          <cell r="D48">
            <v>3.72</v>
          </cell>
          <cell r="E48">
            <v>1.264</v>
          </cell>
          <cell r="F48">
            <v>12038.66</v>
          </cell>
          <cell r="G48">
            <v>95.242563291139206</v>
          </cell>
          <cell r="H48">
            <v>0.66021505376344092</v>
          </cell>
          <cell r="I48">
            <v>12.03866</v>
          </cell>
        </row>
        <row r="49">
          <cell r="C49" t="str">
            <v>SH033</v>
          </cell>
          <cell r="D49">
            <v>5.4039999999999999</v>
          </cell>
          <cell r="E49">
            <v>1.4690000000000001</v>
          </cell>
          <cell r="F49">
            <v>21521.54</v>
          </cell>
          <cell r="G49">
            <v>146.50469707283901</v>
          </cell>
          <cell r="H49">
            <v>0.72816432272390819</v>
          </cell>
          <cell r="I49">
            <v>21.521540000000002</v>
          </cell>
        </row>
        <row r="50">
          <cell r="C50" t="str">
            <v>WH901A</v>
          </cell>
          <cell r="D50">
            <v>9.952</v>
          </cell>
          <cell r="E50">
            <v>4.1479999999999997</v>
          </cell>
          <cell r="F50">
            <v>60990.05</v>
          </cell>
          <cell r="G50">
            <v>147.03483606557401</v>
          </cell>
          <cell r="H50">
            <v>0.58319935691318336</v>
          </cell>
          <cell r="I50">
            <v>60.990050000000004</v>
          </cell>
        </row>
        <row r="51">
          <cell r="C51" t="str">
            <v>WH901B</v>
          </cell>
          <cell r="D51">
            <v>13.295999999999999</v>
          </cell>
          <cell r="E51">
            <v>4.4829999999999997</v>
          </cell>
          <cell r="F51">
            <v>80322.09</v>
          </cell>
          <cell r="G51">
            <v>179.17039928619201</v>
          </cell>
          <cell r="H51">
            <v>0.66283092659446441</v>
          </cell>
          <cell r="I51">
            <v>80.322090000000003</v>
          </cell>
        </row>
        <row r="52">
          <cell r="C52" t="str">
            <v>WH901C</v>
          </cell>
          <cell r="D52">
            <v>12.055999999999999</v>
          </cell>
          <cell r="E52">
            <v>5.3579999999999997</v>
          </cell>
          <cell r="F52">
            <v>64104.3</v>
          </cell>
          <cell r="G52">
            <v>119.642217245241</v>
          </cell>
          <cell r="H52">
            <v>0.55557398805573988</v>
          </cell>
          <cell r="I52">
            <v>64.104300000000009</v>
          </cell>
        </row>
        <row r="53">
          <cell r="C53" t="str">
            <v>WH902A</v>
          </cell>
          <cell r="D53">
            <v>8.891</v>
          </cell>
          <cell r="E53">
            <v>3.0019999999999998</v>
          </cell>
          <cell r="F53">
            <v>35757.870000000003</v>
          </cell>
          <cell r="G53">
            <v>119.113491005996</v>
          </cell>
          <cell r="H53">
            <v>0.66235519064222248</v>
          </cell>
          <cell r="I53">
            <v>35.757870000000004</v>
          </cell>
        </row>
        <row r="54">
          <cell r="C54" t="str">
            <v>WH902B</v>
          </cell>
          <cell r="D54">
            <v>5.4969999999999999</v>
          </cell>
          <cell r="E54">
            <v>1.7889999999999999</v>
          </cell>
          <cell r="F54">
            <v>23238.54</v>
          </cell>
          <cell r="G54">
            <v>129.89681386249299</v>
          </cell>
          <cell r="H54">
            <v>0.67454975441149723</v>
          </cell>
          <cell r="I54">
            <v>23.238540000000004</v>
          </cell>
        </row>
        <row r="55">
          <cell r="C55" t="str">
            <v>WH902C</v>
          </cell>
          <cell r="D55">
            <v>6.2309999999999999</v>
          </cell>
          <cell r="E55">
            <v>2.3090000000000002</v>
          </cell>
          <cell r="F55">
            <v>23632.52</v>
          </cell>
          <cell r="G55">
            <v>102.349588566479</v>
          </cell>
          <cell r="H55">
            <v>0.6294334777724282</v>
          </cell>
          <cell r="I55">
            <v>23.63252</v>
          </cell>
        </row>
        <row r="56">
          <cell r="C56" t="str">
            <v>WH903A</v>
          </cell>
          <cell r="D56">
            <v>4.0990000000000002</v>
          </cell>
          <cell r="E56">
            <v>1.375</v>
          </cell>
          <cell r="F56">
            <v>20082.46</v>
          </cell>
          <cell r="G56">
            <v>146.054254545455</v>
          </cell>
          <cell r="H56">
            <v>0.66455232983654555</v>
          </cell>
          <cell r="I56">
            <v>20.082459999999998</v>
          </cell>
        </row>
        <row r="57">
          <cell r="C57" t="str">
            <v>WH903B</v>
          </cell>
          <cell r="D57">
            <v>4.758</v>
          </cell>
          <cell r="E57">
            <v>1.4610000000000001</v>
          </cell>
          <cell r="F57">
            <v>24259.73</v>
          </cell>
          <cell r="G57">
            <v>166.04880219028101</v>
          </cell>
          <cell r="H57">
            <v>0.69293820933165184</v>
          </cell>
          <cell r="I57">
            <v>24.259730000000001</v>
          </cell>
        </row>
        <row r="58">
          <cell r="C58" t="str">
            <v>WH903C</v>
          </cell>
          <cell r="D58">
            <v>3.7810000000000001</v>
          </cell>
          <cell r="E58">
            <v>0.81299999999999994</v>
          </cell>
          <cell r="F58">
            <v>18861.27</v>
          </cell>
          <cell r="G58">
            <v>231.99594095941001</v>
          </cell>
          <cell r="H58">
            <v>0.78497751917482139</v>
          </cell>
          <cell r="I58">
            <v>18.861270000000001</v>
          </cell>
        </row>
        <row r="59">
          <cell r="C59" t="str">
            <v>WH904A</v>
          </cell>
          <cell r="D59">
            <v>8.9139999999999997</v>
          </cell>
          <cell r="E59">
            <v>3.8460000000000001</v>
          </cell>
          <cell r="F59">
            <v>38743.24</v>
          </cell>
          <cell r="G59">
            <v>100.736453458138</v>
          </cell>
          <cell r="H59">
            <v>0.56854386358537135</v>
          </cell>
          <cell r="I59">
            <v>38.743239999999993</v>
          </cell>
        </row>
        <row r="60">
          <cell r="C60" t="str">
            <v>WH904B</v>
          </cell>
          <cell r="D60">
            <v>8.7170000000000005</v>
          </cell>
          <cell r="E60">
            <v>3.2549999999999999</v>
          </cell>
          <cell r="F60">
            <v>27545.1</v>
          </cell>
          <cell r="G60">
            <v>84.623963133640601</v>
          </cell>
          <cell r="H60">
            <v>0.62659171733394525</v>
          </cell>
          <cell r="I60">
            <v>27.545099999999998</v>
          </cell>
        </row>
        <row r="61">
          <cell r="C61" t="str">
            <v>WH904C</v>
          </cell>
          <cell r="D61">
            <v>8.2200000000000006</v>
          </cell>
          <cell r="E61">
            <v>3.2250000000000001</v>
          </cell>
          <cell r="F61">
            <v>40123.83</v>
          </cell>
          <cell r="G61">
            <v>124.41497674418601</v>
          </cell>
          <cell r="H61">
            <v>0.60766423357664245</v>
          </cell>
          <cell r="I61">
            <v>40.123830000000005</v>
          </cell>
        </row>
        <row r="62">
          <cell r="C62" t="str">
            <v>WH905A</v>
          </cell>
          <cell r="D62">
            <v>6.984</v>
          </cell>
          <cell r="E62">
            <v>3.0049999999999999</v>
          </cell>
          <cell r="F62">
            <v>28237.02</v>
          </cell>
          <cell r="G62">
            <v>93.966788685524094</v>
          </cell>
          <cell r="H62">
            <v>0.56973081328751429</v>
          </cell>
          <cell r="I62">
            <v>28.237020000000001</v>
          </cell>
        </row>
        <row r="63">
          <cell r="C63" t="str">
            <v>WH905B</v>
          </cell>
          <cell r="D63">
            <v>10.4358</v>
          </cell>
          <cell r="E63">
            <v>4.758</v>
          </cell>
          <cell r="F63">
            <v>42840.5</v>
          </cell>
          <cell r="G63">
            <v>90.038881883144199</v>
          </cell>
          <cell r="H63">
            <v>0.54406945322831024</v>
          </cell>
          <cell r="I63">
            <v>42.840499999999999</v>
          </cell>
        </row>
        <row r="64">
          <cell r="C64" t="str">
            <v>WH905C</v>
          </cell>
          <cell r="D64">
            <v>6.1150000000000002</v>
          </cell>
          <cell r="E64">
            <v>1.9530000000000001</v>
          </cell>
          <cell r="F64">
            <v>27871.29</v>
          </cell>
          <cell r="G64">
            <v>142.71013824884801</v>
          </cell>
          <cell r="H64">
            <v>0.68062142273098936</v>
          </cell>
          <cell r="I64">
            <v>27.871289999999998</v>
          </cell>
        </row>
        <row r="65">
          <cell r="C65" t="str">
            <v>WH906A</v>
          </cell>
          <cell r="D65">
            <v>3.9089999999999998</v>
          </cell>
          <cell r="E65">
            <v>1.3959999999999999</v>
          </cell>
          <cell r="F65">
            <v>20120.14</v>
          </cell>
          <cell r="G65">
            <v>144.127077363897</v>
          </cell>
          <cell r="H65">
            <v>0.64287541570734208</v>
          </cell>
          <cell r="I65">
            <v>20.120139999999999</v>
          </cell>
        </row>
        <row r="66">
          <cell r="C66" t="str">
            <v>WH906B</v>
          </cell>
          <cell r="D66">
            <v>2.673</v>
          </cell>
          <cell r="E66">
            <v>0.86899999999999999</v>
          </cell>
          <cell r="F66">
            <v>15956.13</v>
          </cell>
          <cell r="G66">
            <v>183.61484464902199</v>
          </cell>
          <cell r="H66">
            <v>0.67489711934156382</v>
          </cell>
          <cell r="I66">
            <v>15.956129999999998</v>
          </cell>
        </row>
        <row r="67">
          <cell r="C67" t="str">
            <v>WH906C</v>
          </cell>
          <cell r="D67">
            <v>2.7879999999999998</v>
          </cell>
          <cell r="E67">
            <v>0.76200000000000001</v>
          </cell>
          <cell r="F67">
            <v>18848.53</v>
          </cell>
          <cell r="G67">
            <v>247.35603674540701</v>
          </cell>
          <cell r="H67">
            <v>0.7266857962697274</v>
          </cell>
          <cell r="I67">
            <v>18.848529999999997</v>
          </cell>
        </row>
        <row r="68">
          <cell r="C68" t="str">
            <v>WH907A</v>
          </cell>
          <cell r="D68">
            <v>5.2409999999999997</v>
          </cell>
          <cell r="E68">
            <v>2.0710000000000002</v>
          </cell>
          <cell r="F68">
            <v>24885.09</v>
          </cell>
          <cell r="G68">
            <v>120.15977788508</v>
          </cell>
          <cell r="H68">
            <v>0.60484640335813766</v>
          </cell>
          <cell r="I68">
            <v>24.885090000000002</v>
          </cell>
        </row>
        <row r="69">
          <cell r="C69" t="str">
            <v>WH907B</v>
          </cell>
          <cell r="D69">
            <v>5.984</v>
          </cell>
          <cell r="E69">
            <v>1.7450000000000001</v>
          </cell>
          <cell r="F69">
            <v>23169.42</v>
          </cell>
          <cell r="G69">
            <v>132.77604584527199</v>
          </cell>
          <cell r="H69">
            <v>0.70838903743315507</v>
          </cell>
          <cell r="I69">
            <v>23.169419999999999</v>
          </cell>
        </row>
        <row r="70">
          <cell r="C70" t="str">
            <v>WH907C</v>
          </cell>
          <cell r="D70">
            <v>7.8230000000000004</v>
          </cell>
          <cell r="E70">
            <v>3.145</v>
          </cell>
          <cell r="F70">
            <v>29813.84</v>
          </cell>
          <cell r="G70">
            <v>94.797583465818803</v>
          </cell>
          <cell r="H70">
            <v>0.59798031445736932</v>
          </cell>
          <cell r="I70">
            <v>29.813839999999999</v>
          </cell>
        </row>
        <row r="71">
          <cell r="C71" t="str">
            <v>WH908</v>
          </cell>
          <cell r="D71">
            <v>4.266</v>
          </cell>
          <cell r="E71">
            <v>1.1950000000000001</v>
          </cell>
          <cell r="F71">
            <v>19152.48</v>
          </cell>
          <cell r="G71">
            <v>160.27179916317999</v>
          </cell>
          <cell r="H71">
            <v>0.71987810595405521</v>
          </cell>
          <cell r="I71">
            <v>19.152480000000001</v>
          </cell>
        </row>
        <row r="72">
          <cell r="C72" t="str">
            <v>WH909</v>
          </cell>
          <cell r="D72">
            <v>3.7616666666666667</v>
          </cell>
          <cell r="E72">
            <v>1.143</v>
          </cell>
          <cell r="F72">
            <v>24231.649999999998</v>
          </cell>
          <cell r="G72">
            <v>212.69271516811799</v>
          </cell>
          <cell r="H72">
            <v>0.69614626449447481</v>
          </cell>
          <cell r="I72">
            <v>24.231649999999998</v>
          </cell>
        </row>
        <row r="73">
          <cell r="C73" t="str">
            <v>WH910</v>
          </cell>
          <cell r="D73">
            <v>2.8079999999999998</v>
          </cell>
          <cell r="E73">
            <v>0.86</v>
          </cell>
          <cell r="F73">
            <v>12177.27</v>
          </cell>
          <cell r="G73">
            <v>141.596162790698</v>
          </cell>
          <cell r="H73">
            <v>0.69373219373219375</v>
          </cell>
          <cell r="I73">
            <v>12.17727</v>
          </cell>
        </row>
        <row r="74">
          <cell r="C74" t="str">
            <v>WH911</v>
          </cell>
          <cell r="D74">
            <v>3.2010000000000001</v>
          </cell>
          <cell r="E74">
            <v>0.82</v>
          </cell>
          <cell r="F74">
            <v>23940.22</v>
          </cell>
          <cell r="G74">
            <v>291.95390243902398</v>
          </cell>
          <cell r="H74">
            <v>0.74383005310840367</v>
          </cell>
          <cell r="I74">
            <v>23.94022</v>
          </cell>
        </row>
        <row r="75">
          <cell r="C75" t="str">
            <v>WH912</v>
          </cell>
          <cell r="D75">
            <v>1.51</v>
          </cell>
          <cell r="E75">
            <v>0.47199999999999998</v>
          </cell>
          <cell r="F75">
            <v>7638.89</v>
          </cell>
          <cell r="G75">
            <v>161.84088983050799</v>
          </cell>
          <cell r="H75">
            <v>0.68741721854304638</v>
          </cell>
          <cell r="I75">
            <v>7.63889</v>
          </cell>
        </row>
        <row r="76">
          <cell r="C76" t="str">
            <v>WH913</v>
          </cell>
          <cell r="D76">
            <v>10.824</v>
          </cell>
          <cell r="E76">
            <v>4.6779999999999999</v>
          </cell>
          <cell r="F76">
            <v>39778.78</v>
          </cell>
          <cell r="G76">
            <v>85.033732364258199</v>
          </cell>
          <cell r="H76">
            <v>0.56781226903178128</v>
          </cell>
          <cell r="I76">
            <v>39.778779999999998</v>
          </cell>
        </row>
        <row r="77">
          <cell r="C77" t="str">
            <v>WH921</v>
          </cell>
          <cell r="D77">
            <v>9.5670000000000002</v>
          </cell>
          <cell r="E77">
            <v>3.69</v>
          </cell>
          <cell r="F77">
            <v>40358.6</v>
          </cell>
          <cell r="G77">
            <v>109.372899728997</v>
          </cell>
          <cell r="H77">
            <v>0.61429915333960494</v>
          </cell>
          <cell r="I77">
            <v>40.358599999999996</v>
          </cell>
        </row>
        <row r="78">
          <cell r="C78" t="str">
            <v>WH922</v>
          </cell>
          <cell r="D78">
            <v>14.128499999999999</v>
          </cell>
          <cell r="E78">
            <v>2.7910000000000004</v>
          </cell>
          <cell r="F78">
            <v>53304.21</v>
          </cell>
          <cell r="G78">
            <v>187.45927089027251</v>
          </cell>
          <cell r="H78">
            <v>0.80245602859468446</v>
          </cell>
          <cell r="I78">
            <v>53.304210000000005</v>
          </cell>
        </row>
        <row r="79">
          <cell r="C79" t="str">
            <v>WH923</v>
          </cell>
          <cell r="D79">
            <v>0.42799999999999999</v>
          </cell>
          <cell r="E79">
            <v>0.16600000000000001</v>
          </cell>
          <cell r="F79">
            <v>3381.08</v>
          </cell>
          <cell r="G79">
            <v>203.679518072289</v>
          </cell>
          <cell r="H79">
            <v>0.61214953271028039</v>
          </cell>
          <cell r="I79">
            <v>3.3810799999999999</v>
          </cell>
        </row>
        <row r="80">
          <cell r="C80" t="str">
            <v>WH924</v>
          </cell>
          <cell r="D80">
            <v>1.5609999999999999</v>
          </cell>
          <cell r="E80">
            <v>0.46</v>
          </cell>
          <cell r="F80">
            <v>9971.2900000000009</v>
          </cell>
          <cell r="G80">
            <v>216.767173913043</v>
          </cell>
          <cell r="H80">
            <v>0.70531710442024342</v>
          </cell>
          <cell r="I80">
            <v>9.9712900000000015</v>
          </cell>
        </row>
        <row r="81">
          <cell r="C81" t="str">
            <v>WH925</v>
          </cell>
          <cell r="D81">
            <v>7.7629999999999999</v>
          </cell>
          <cell r="E81">
            <v>3.3410000000000002</v>
          </cell>
          <cell r="F81">
            <v>47693.42</v>
          </cell>
          <cell r="G81">
            <v>142.751930559713</v>
          </cell>
          <cell r="H81">
            <v>0.56962514491820171</v>
          </cell>
          <cell r="I81">
            <v>47.693419999999996</v>
          </cell>
        </row>
        <row r="82">
          <cell r="C82" t="str">
            <v>WH926</v>
          </cell>
          <cell r="D82">
            <v>5.1470000000000002</v>
          </cell>
          <cell r="E82">
            <v>1.2230000000000001</v>
          </cell>
          <cell r="F82">
            <v>21781.93</v>
          </cell>
          <cell r="G82">
            <v>178.10245298446401</v>
          </cell>
          <cell r="H82">
            <v>0.7623858558383525</v>
          </cell>
          <cell r="I82">
            <v>21.781930000000003</v>
          </cell>
        </row>
        <row r="83">
          <cell r="C83" t="str">
            <v>WH927</v>
          </cell>
          <cell r="D83">
            <v>0.78100000000000003</v>
          </cell>
          <cell r="E83">
            <v>0.24199999999999999</v>
          </cell>
          <cell r="F83">
            <v>6639.92</v>
          </cell>
          <cell r="G83">
            <v>274.37685950413203</v>
          </cell>
          <cell r="H83">
            <v>0.6901408450704225</v>
          </cell>
          <cell r="I83">
            <v>6.63992</v>
          </cell>
        </row>
        <row r="84">
          <cell r="C84" t="str">
            <v>WH928</v>
          </cell>
          <cell r="D84">
            <v>8.1950000000000003</v>
          </cell>
          <cell r="E84">
            <v>3.2650000000000001</v>
          </cell>
          <cell r="F84">
            <v>39073.449999999997</v>
          </cell>
          <cell r="G84">
            <v>119.673660030628</v>
          </cell>
          <cell r="H84">
            <v>0.60158633312995724</v>
          </cell>
          <cell r="I84">
            <v>39.073450000000001</v>
          </cell>
        </row>
        <row r="85">
          <cell r="C85" t="str">
            <v>WH929</v>
          </cell>
          <cell r="D85">
            <v>1.387</v>
          </cell>
          <cell r="E85">
            <v>0.56499999999999995</v>
          </cell>
          <cell r="F85">
            <v>11204.81</v>
          </cell>
          <cell r="G85">
            <v>198.31522123893799</v>
          </cell>
          <cell r="H85">
            <v>0.59264599855803901</v>
          </cell>
          <cell r="I85">
            <v>11.20481</v>
          </cell>
        </row>
        <row r="86">
          <cell r="C86" t="str">
            <v>WH930</v>
          </cell>
          <cell r="D86">
            <v>1.8979999999999999</v>
          </cell>
          <cell r="E86">
            <v>0.70699999999999996</v>
          </cell>
          <cell r="F86">
            <v>11939.54</v>
          </cell>
          <cell r="G86">
            <v>168.87609618104699</v>
          </cell>
          <cell r="H86">
            <v>0.62750263435194942</v>
          </cell>
          <cell r="I86">
            <v>11.939540000000001</v>
          </cell>
        </row>
        <row r="87">
          <cell r="C87" t="str">
            <v>WH931</v>
          </cell>
          <cell r="D87">
            <v>1.6539999999999999</v>
          </cell>
          <cell r="E87">
            <v>0.59799999999999998</v>
          </cell>
          <cell r="F87">
            <v>10432.219999999999</v>
          </cell>
          <cell r="G87">
            <v>174.45183946488299</v>
          </cell>
          <cell r="H87">
            <v>0.63845223700120923</v>
          </cell>
          <cell r="I87">
            <v>10.432219999999999</v>
          </cell>
        </row>
        <row r="88">
          <cell r="C88" t="str">
            <v>WH932</v>
          </cell>
          <cell r="D88">
            <v>5.5270000000000001</v>
          </cell>
          <cell r="E88">
            <v>2.6280000000000001</v>
          </cell>
          <cell r="F88">
            <v>43925</v>
          </cell>
          <cell r="G88">
            <v>167.142313546423</v>
          </cell>
          <cell r="H88">
            <v>0.52451601230323863</v>
          </cell>
          <cell r="I88">
            <v>43.924999999999997</v>
          </cell>
        </row>
      </sheetData>
      <sheetData sheetId="11">
        <row r="1">
          <cell r="B1" t="str">
            <v>SampleID</v>
          </cell>
        </row>
      </sheetData>
      <sheetData sheetId="12">
        <row r="1">
          <cell r="B1" t="str">
            <v>SampleID</v>
          </cell>
          <cell r="C1" t="str">
            <v>DBH(cm)</v>
          </cell>
          <cell r="D1" t="str">
            <v>H(m)</v>
          </cell>
        </row>
        <row r="2">
          <cell r="B2" t="str">
            <v>SH001A</v>
          </cell>
          <cell r="C2">
            <v>20.3</v>
          </cell>
          <cell r="D2">
            <v>14</v>
          </cell>
        </row>
        <row r="3">
          <cell r="B3" t="str">
            <v>SH001B</v>
          </cell>
          <cell r="C3">
            <v>22.6</v>
          </cell>
          <cell r="D3">
            <v>14</v>
          </cell>
        </row>
        <row r="4">
          <cell r="B4" t="str">
            <v>SH001C</v>
          </cell>
          <cell r="C4">
            <v>23.3</v>
          </cell>
          <cell r="D4">
            <v>13</v>
          </cell>
        </row>
        <row r="5">
          <cell r="B5" t="str">
            <v>SH002A</v>
          </cell>
          <cell r="C5">
            <v>19.100000000000001</v>
          </cell>
          <cell r="D5">
            <v>12</v>
          </cell>
        </row>
        <row r="6">
          <cell r="B6" t="str">
            <v>SH002B</v>
          </cell>
          <cell r="C6">
            <v>12.4</v>
          </cell>
          <cell r="D6">
            <v>9.5</v>
          </cell>
        </row>
        <row r="7">
          <cell r="B7" t="str">
            <v>SH002C</v>
          </cell>
          <cell r="C7">
            <v>18</v>
          </cell>
          <cell r="D7">
            <v>12.5</v>
          </cell>
        </row>
        <row r="8">
          <cell r="B8" t="str">
            <v>SH003A</v>
          </cell>
          <cell r="C8">
            <v>27.7</v>
          </cell>
          <cell r="D8">
            <v>11.8</v>
          </cell>
        </row>
        <row r="9">
          <cell r="B9" t="str">
            <v>SH003B</v>
          </cell>
          <cell r="C9">
            <v>13</v>
          </cell>
          <cell r="D9">
            <v>8.5</v>
          </cell>
        </row>
        <row r="10">
          <cell r="B10" t="str">
            <v>SH003C</v>
          </cell>
          <cell r="C10">
            <v>22.5</v>
          </cell>
          <cell r="D10">
            <v>11</v>
          </cell>
        </row>
        <row r="11">
          <cell r="B11" t="str">
            <v>SH004A</v>
          </cell>
          <cell r="C11">
            <v>13.7</v>
          </cell>
          <cell r="D11">
            <v>11.8</v>
          </cell>
        </row>
        <row r="12">
          <cell r="B12" t="str">
            <v>SH005A</v>
          </cell>
          <cell r="C12">
            <v>19.5</v>
          </cell>
          <cell r="D12">
            <v>13</v>
          </cell>
        </row>
        <row r="13">
          <cell r="B13" t="str">
            <v>SH005B</v>
          </cell>
          <cell r="C13">
            <v>15</v>
          </cell>
          <cell r="D13">
            <v>13</v>
          </cell>
        </row>
        <row r="14">
          <cell r="B14" t="str">
            <v>SH005C</v>
          </cell>
          <cell r="C14">
            <v>12</v>
          </cell>
          <cell r="D14">
            <v>11</v>
          </cell>
        </row>
        <row r="15">
          <cell r="B15" t="str">
            <v>SH006A</v>
          </cell>
          <cell r="C15">
            <v>19.2</v>
          </cell>
          <cell r="D15">
            <v>15</v>
          </cell>
        </row>
        <row r="16">
          <cell r="B16" t="str">
            <v>SH006B</v>
          </cell>
          <cell r="C16">
            <v>25.5</v>
          </cell>
          <cell r="D16">
            <v>14.2</v>
          </cell>
        </row>
        <row r="17">
          <cell r="B17" t="str">
            <v>SH006C</v>
          </cell>
          <cell r="C17">
            <v>35.6</v>
          </cell>
          <cell r="D17">
            <v>14.5</v>
          </cell>
        </row>
        <row r="18">
          <cell r="B18" t="str">
            <v>SH007A</v>
          </cell>
          <cell r="C18">
            <v>22.2</v>
          </cell>
          <cell r="D18">
            <v>13.5</v>
          </cell>
        </row>
        <row r="19">
          <cell r="B19" t="str">
            <v>SH007B</v>
          </cell>
          <cell r="C19">
            <v>20.350000000000001</v>
          </cell>
          <cell r="D19">
            <v>12.5</v>
          </cell>
        </row>
        <row r="20">
          <cell r="B20" t="str">
            <v>SH007C</v>
          </cell>
          <cell r="C20">
            <v>24.5</v>
          </cell>
          <cell r="D20">
            <v>13.5</v>
          </cell>
        </row>
        <row r="21">
          <cell r="B21" t="str">
            <v>SH009A</v>
          </cell>
          <cell r="C21">
            <v>7.5</v>
          </cell>
          <cell r="D21">
            <v>6.5</v>
          </cell>
        </row>
        <row r="22">
          <cell r="B22" t="str">
            <v>SH009B</v>
          </cell>
          <cell r="C22">
            <v>9.35</v>
          </cell>
          <cell r="D22">
            <v>7.8</v>
          </cell>
        </row>
        <row r="23">
          <cell r="B23" t="str">
            <v>SH009C</v>
          </cell>
          <cell r="C23">
            <v>16</v>
          </cell>
          <cell r="D23">
            <v>10.5</v>
          </cell>
        </row>
        <row r="24">
          <cell r="B24" t="str">
            <v>SH010A</v>
          </cell>
          <cell r="C24">
            <v>15.9</v>
          </cell>
          <cell r="D24">
            <v>9.5</v>
          </cell>
        </row>
        <row r="25">
          <cell r="B25" t="str">
            <v>SH010B</v>
          </cell>
          <cell r="C25">
            <v>21.2</v>
          </cell>
          <cell r="D25">
            <v>11</v>
          </cell>
        </row>
        <row r="26">
          <cell r="B26" t="str">
            <v>SH010C</v>
          </cell>
          <cell r="C26">
            <v>24.5</v>
          </cell>
          <cell r="D26">
            <v>13.5</v>
          </cell>
        </row>
        <row r="27">
          <cell r="B27" t="str">
            <v>SH011A</v>
          </cell>
          <cell r="C27">
            <v>11.7</v>
          </cell>
          <cell r="D27">
            <v>8</v>
          </cell>
        </row>
        <row r="28">
          <cell r="B28" t="str">
            <v>SH011B</v>
          </cell>
          <cell r="C28">
            <v>13.5</v>
          </cell>
          <cell r="D28">
            <v>7.8</v>
          </cell>
        </row>
        <row r="29">
          <cell r="B29" t="str">
            <v>SH011C</v>
          </cell>
          <cell r="C29">
            <v>8.5</v>
          </cell>
          <cell r="D29">
            <v>8.5</v>
          </cell>
        </row>
        <row r="30">
          <cell r="B30" t="str">
            <v>SH012A</v>
          </cell>
          <cell r="C30">
            <v>17</v>
          </cell>
          <cell r="D30">
            <v>12</v>
          </cell>
        </row>
        <row r="31">
          <cell r="B31" t="str">
            <v>SH012B</v>
          </cell>
          <cell r="C31">
            <v>13.5</v>
          </cell>
          <cell r="D31">
            <v>12</v>
          </cell>
        </row>
        <row r="32">
          <cell r="B32" t="str">
            <v>SH012C</v>
          </cell>
          <cell r="C32">
            <v>15</v>
          </cell>
          <cell r="D32">
            <v>11.5</v>
          </cell>
        </row>
        <row r="33">
          <cell r="B33" t="str">
            <v>SH013A</v>
          </cell>
          <cell r="C33">
            <v>18.2</v>
          </cell>
          <cell r="D33">
            <v>10.8</v>
          </cell>
        </row>
        <row r="34">
          <cell r="B34" t="str">
            <v>SH013B</v>
          </cell>
          <cell r="C34">
            <v>15.7</v>
          </cell>
          <cell r="D34">
            <v>11</v>
          </cell>
        </row>
        <row r="35">
          <cell r="B35" t="str">
            <v>SH013C</v>
          </cell>
          <cell r="C35">
            <v>11.15</v>
          </cell>
          <cell r="D35">
            <v>9</v>
          </cell>
        </row>
        <row r="36">
          <cell r="B36" t="str">
            <v>SH014A</v>
          </cell>
          <cell r="C36">
            <v>11.2</v>
          </cell>
          <cell r="D36">
            <v>8</v>
          </cell>
        </row>
        <row r="37">
          <cell r="B37" t="str">
            <v>SH021</v>
          </cell>
          <cell r="C37">
            <v>2.2999999999999998</v>
          </cell>
          <cell r="D37">
            <v>3.2</v>
          </cell>
        </row>
        <row r="38">
          <cell r="B38" t="str">
            <v>SH022</v>
          </cell>
          <cell r="C38">
            <v>3.1</v>
          </cell>
          <cell r="D38">
            <v>3.2</v>
          </cell>
        </row>
        <row r="39">
          <cell r="B39" t="str">
            <v>SH023</v>
          </cell>
          <cell r="C39">
            <v>4</v>
          </cell>
          <cell r="D39">
            <v>3.6</v>
          </cell>
        </row>
        <row r="40">
          <cell r="B40" t="str">
            <v>SH024</v>
          </cell>
          <cell r="C40">
            <v>2.5</v>
          </cell>
          <cell r="D40">
            <v>3.3</v>
          </cell>
        </row>
        <row r="41">
          <cell r="B41" t="str">
            <v>SH025</v>
          </cell>
          <cell r="C41">
            <v>5.7</v>
          </cell>
          <cell r="D41">
            <v>6</v>
          </cell>
        </row>
        <row r="42">
          <cell r="B42" t="str">
            <v>SH026</v>
          </cell>
          <cell r="C42">
            <v>1.2</v>
          </cell>
          <cell r="D42">
            <v>1.8</v>
          </cell>
        </row>
        <row r="43">
          <cell r="B43" t="str">
            <v>SH027</v>
          </cell>
          <cell r="C43">
            <v>3.55</v>
          </cell>
          <cell r="D43">
            <v>2.5499999999999998</v>
          </cell>
        </row>
        <row r="44">
          <cell r="B44" t="str">
            <v>SH028</v>
          </cell>
          <cell r="C44">
            <v>4.0999999999999996</v>
          </cell>
          <cell r="D44">
            <v>6</v>
          </cell>
        </row>
        <row r="45">
          <cell r="B45" t="str">
            <v>SH029</v>
          </cell>
          <cell r="C45">
            <v>2.7</v>
          </cell>
          <cell r="D45">
            <v>3.5</v>
          </cell>
        </row>
        <row r="46">
          <cell r="B46" t="str">
            <v>SH030</v>
          </cell>
          <cell r="C46">
            <v>3.8</v>
          </cell>
          <cell r="D46">
            <v>4.5</v>
          </cell>
        </row>
        <row r="47">
          <cell r="B47" t="str">
            <v>SH031</v>
          </cell>
          <cell r="C47"/>
          <cell r="D47"/>
        </row>
        <row r="48">
          <cell r="B48" t="str">
            <v>SH032</v>
          </cell>
          <cell r="C48">
            <v>3.6</v>
          </cell>
          <cell r="D48">
            <v>3.4</v>
          </cell>
        </row>
        <row r="49">
          <cell r="B49" t="str">
            <v>SH033</v>
          </cell>
          <cell r="C49">
            <v>0.4</v>
          </cell>
          <cell r="D49">
            <v>2.7</v>
          </cell>
        </row>
        <row r="50">
          <cell r="B50" t="str">
            <v>SH034</v>
          </cell>
          <cell r="C50">
            <v>0.65</v>
          </cell>
          <cell r="D50">
            <v>3</v>
          </cell>
        </row>
        <row r="51">
          <cell r="B51" t="str">
            <v>WH901A</v>
          </cell>
          <cell r="C51">
            <v>13.1</v>
          </cell>
          <cell r="D51">
            <v>13.8</v>
          </cell>
        </row>
        <row r="52">
          <cell r="B52" t="str">
            <v>WH901B</v>
          </cell>
          <cell r="C52">
            <v>9.6</v>
          </cell>
          <cell r="D52">
            <v>11.5</v>
          </cell>
        </row>
        <row r="53">
          <cell r="B53" t="str">
            <v>WH901C</v>
          </cell>
          <cell r="C53">
            <v>10.5</v>
          </cell>
          <cell r="D53">
            <v>11.5</v>
          </cell>
        </row>
        <row r="54">
          <cell r="B54" t="str">
            <v>WH902A</v>
          </cell>
          <cell r="C54">
            <v>11.3</v>
          </cell>
          <cell r="D54">
            <v>6.5</v>
          </cell>
        </row>
        <row r="55">
          <cell r="B55" t="str">
            <v>WH902B</v>
          </cell>
          <cell r="C55">
            <v>6.1</v>
          </cell>
          <cell r="D55">
            <v>9.8000000000000007</v>
          </cell>
        </row>
        <row r="56">
          <cell r="B56" t="str">
            <v>WH902C</v>
          </cell>
          <cell r="C56">
            <v>8</v>
          </cell>
          <cell r="D56">
            <v>13.5</v>
          </cell>
        </row>
        <row r="57">
          <cell r="B57" t="str">
            <v>WH903A</v>
          </cell>
          <cell r="C57">
            <v>10.1</v>
          </cell>
          <cell r="D57">
            <v>12</v>
          </cell>
        </row>
        <row r="58">
          <cell r="B58" t="str">
            <v>WH903B</v>
          </cell>
          <cell r="C58">
            <v>5.7</v>
          </cell>
          <cell r="D58">
            <v>9.5</v>
          </cell>
        </row>
        <row r="59">
          <cell r="B59" t="str">
            <v>WH903C</v>
          </cell>
          <cell r="C59">
            <v>7.9</v>
          </cell>
          <cell r="D59">
            <v>9.5</v>
          </cell>
        </row>
        <row r="60">
          <cell r="B60" t="str">
            <v>WH904A</v>
          </cell>
          <cell r="C60">
            <v>16.5</v>
          </cell>
          <cell r="D60">
            <v>12</v>
          </cell>
        </row>
        <row r="61">
          <cell r="B61" t="str">
            <v>WH904B</v>
          </cell>
          <cell r="C61">
            <v>13.6</v>
          </cell>
          <cell r="D61">
            <v>12.5</v>
          </cell>
        </row>
        <row r="62">
          <cell r="B62" t="str">
            <v>WH904C</v>
          </cell>
          <cell r="C62">
            <v>13.6</v>
          </cell>
          <cell r="D62">
            <v>9.5</v>
          </cell>
        </row>
        <row r="63">
          <cell r="B63" t="str">
            <v>WH905A</v>
          </cell>
          <cell r="C63">
            <v>11.5</v>
          </cell>
          <cell r="D63">
            <v>11.6</v>
          </cell>
        </row>
        <row r="64">
          <cell r="B64" t="str">
            <v>WH905B</v>
          </cell>
          <cell r="C64">
            <v>8.8000000000000007</v>
          </cell>
          <cell r="D64">
            <v>12</v>
          </cell>
        </row>
        <row r="65">
          <cell r="B65" t="str">
            <v>WH905C</v>
          </cell>
          <cell r="C65">
            <v>10</v>
          </cell>
          <cell r="D65">
            <v>12</v>
          </cell>
        </row>
        <row r="66">
          <cell r="B66" t="str">
            <v>WH906A</v>
          </cell>
          <cell r="C66">
            <v>9.8000000000000007</v>
          </cell>
          <cell r="D66">
            <v>11</v>
          </cell>
        </row>
        <row r="67">
          <cell r="B67" t="str">
            <v>WH906B</v>
          </cell>
          <cell r="C67">
            <v>16.5</v>
          </cell>
          <cell r="D67">
            <v>12.5</v>
          </cell>
        </row>
        <row r="68">
          <cell r="B68" t="str">
            <v>WH906C</v>
          </cell>
          <cell r="C68">
            <v>8.15</v>
          </cell>
          <cell r="D68">
            <v>8.5</v>
          </cell>
        </row>
        <row r="69">
          <cell r="B69" t="str">
            <v>WH907A</v>
          </cell>
          <cell r="C69">
            <v>17.2</v>
          </cell>
          <cell r="D69">
            <v>13</v>
          </cell>
        </row>
        <row r="70">
          <cell r="B70" t="str">
            <v>WH907B</v>
          </cell>
          <cell r="C70">
            <v>34</v>
          </cell>
          <cell r="D70">
            <v>14.5</v>
          </cell>
        </row>
        <row r="71">
          <cell r="B71" t="str">
            <v>WH907C</v>
          </cell>
          <cell r="C71">
            <v>42.7</v>
          </cell>
          <cell r="D71">
            <v>18.5</v>
          </cell>
        </row>
        <row r="72">
          <cell r="B72" t="str">
            <v>WH908</v>
          </cell>
          <cell r="C72">
            <v>8.85</v>
          </cell>
          <cell r="D72">
            <v>9.5</v>
          </cell>
        </row>
        <row r="73">
          <cell r="B73" t="str">
            <v>WH909</v>
          </cell>
          <cell r="C73">
            <v>11.2</v>
          </cell>
          <cell r="D73">
            <v>10</v>
          </cell>
        </row>
        <row r="74">
          <cell r="B74" t="str">
            <v>WH910</v>
          </cell>
          <cell r="C74">
            <v>25.9</v>
          </cell>
          <cell r="D74">
            <v>11.6</v>
          </cell>
        </row>
        <row r="75">
          <cell r="B75" t="str">
            <v>WH911</v>
          </cell>
          <cell r="C75">
            <v>8</v>
          </cell>
          <cell r="D75">
            <v>8.5</v>
          </cell>
        </row>
        <row r="76">
          <cell r="B76" t="str">
            <v>WH912</v>
          </cell>
          <cell r="C76">
            <v>28</v>
          </cell>
          <cell r="D76">
            <v>17</v>
          </cell>
        </row>
        <row r="77">
          <cell r="B77" t="str">
            <v>WH913</v>
          </cell>
          <cell r="C77">
            <v>34</v>
          </cell>
          <cell r="D77">
            <v>15</v>
          </cell>
        </row>
        <row r="78">
          <cell r="B78" t="str">
            <v>WH921</v>
          </cell>
          <cell r="C78">
            <v>2.2999999999999998</v>
          </cell>
          <cell r="D78">
            <v>2.6</v>
          </cell>
        </row>
        <row r="79">
          <cell r="B79" t="str">
            <v>WH922</v>
          </cell>
          <cell r="C79">
            <v>3.05</v>
          </cell>
          <cell r="D79">
            <v>3.6</v>
          </cell>
        </row>
        <row r="80">
          <cell r="B80" t="str">
            <v>WH923</v>
          </cell>
          <cell r="C80">
            <v>1.92</v>
          </cell>
          <cell r="D80">
            <v>1.6</v>
          </cell>
        </row>
        <row r="81">
          <cell r="B81" t="str">
            <v>WH924</v>
          </cell>
          <cell r="C81">
            <v>2.8</v>
          </cell>
          <cell r="D81">
            <v>2.2999999999999998</v>
          </cell>
        </row>
        <row r="82">
          <cell r="B82" t="str">
            <v>WH925</v>
          </cell>
          <cell r="C82">
            <v>4</v>
          </cell>
          <cell r="D82">
            <v>6</v>
          </cell>
        </row>
        <row r="83">
          <cell r="B83" t="str">
            <v>WH926</v>
          </cell>
          <cell r="C83">
            <v>1</v>
          </cell>
          <cell r="D83">
            <v>1.55</v>
          </cell>
        </row>
        <row r="84">
          <cell r="B84" t="str">
            <v>WH927</v>
          </cell>
          <cell r="C84">
            <v>2.7</v>
          </cell>
          <cell r="D84">
            <v>1.6</v>
          </cell>
        </row>
        <row r="85">
          <cell r="B85" t="str">
            <v>WH928</v>
          </cell>
          <cell r="C85">
            <v>1.8</v>
          </cell>
          <cell r="D85">
            <v>2.5</v>
          </cell>
        </row>
        <row r="86">
          <cell r="B86" t="str">
            <v>WH929</v>
          </cell>
          <cell r="C86">
            <v>1.9</v>
          </cell>
          <cell r="D86">
            <v>3.8</v>
          </cell>
        </row>
        <row r="87">
          <cell r="B87" t="str">
            <v>WH930</v>
          </cell>
          <cell r="C87">
            <v>2.2999999999999998</v>
          </cell>
          <cell r="D87">
            <v>3</v>
          </cell>
        </row>
        <row r="88">
          <cell r="B88" t="str">
            <v>WH931</v>
          </cell>
          <cell r="C88">
            <v>5</v>
          </cell>
          <cell r="D88">
            <v>0.5</v>
          </cell>
        </row>
        <row r="89">
          <cell r="B89" t="str">
            <v>WH932</v>
          </cell>
          <cell r="C89">
            <v>1.4</v>
          </cell>
          <cell r="D89">
            <v>3.2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8E5F-4E4C-F444-8A61-21008C0B9473}">
  <dimension ref="A1:Z89"/>
  <sheetViews>
    <sheetView tabSelected="1" zoomScale="90" zoomScaleNormal="90" workbookViewId="0">
      <pane xSplit="1" topLeftCell="I1" activePane="topRight" state="frozen"/>
      <selection pane="topRight" activeCell="R16" sqref="R16"/>
    </sheetView>
  </sheetViews>
  <sheetFormatPr baseColWidth="10" defaultColWidth="11" defaultRowHeight="16"/>
  <cols>
    <col min="3" max="3" width="34.5" customWidth="1"/>
    <col min="9" max="9" width="29.1640625" customWidth="1"/>
  </cols>
  <sheetData>
    <row r="1" spans="1:26">
      <c r="A1" s="1" t="s">
        <v>0</v>
      </c>
      <c r="B1" s="1" t="s">
        <v>1</v>
      </c>
      <c r="C1" s="1" t="s">
        <v>125</v>
      </c>
      <c r="D1" s="1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3" t="s">
        <v>131</v>
      </c>
      <c r="J1" s="3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137</v>
      </c>
      <c r="P1" s="4" t="s">
        <v>138</v>
      </c>
      <c r="Q1" s="4" t="s">
        <v>139</v>
      </c>
      <c r="R1" s="5" t="s">
        <v>140</v>
      </c>
      <c r="S1" s="5" t="s">
        <v>141</v>
      </c>
      <c r="T1" s="12" t="s">
        <v>144</v>
      </c>
      <c r="U1" s="12" t="s">
        <v>145</v>
      </c>
      <c r="V1" s="12" t="s">
        <v>146</v>
      </c>
      <c r="W1" s="12" t="s">
        <v>147</v>
      </c>
      <c r="X1" s="12" t="s">
        <v>148</v>
      </c>
      <c r="Y1" s="12" t="s">
        <v>149</v>
      </c>
      <c r="Z1" s="12" t="s">
        <v>232</v>
      </c>
    </row>
    <row r="2" spans="1:26">
      <c r="A2" s="6"/>
      <c r="B2" s="6"/>
      <c r="C2" s="6"/>
      <c r="D2" s="6"/>
      <c r="E2" s="7" t="s">
        <v>2</v>
      </c>
      <c r="F2" s="7" t="s">
        <v>3</v>
      </c>
      <c r="G2" s="7" t="s">
        <v>4</v>
      </c>
      <c r="H2" s="7" t="s">
        <v>5</v>
      </c>
      <c r="I2" s="8" t="s">
        <v>6</v>
      </c>
      <c r="J2" s="8" t="s">
        <v>7</v>
      </c>
      <c r="K2" s="8" t="s">
        <v>8</v>
      </c>
      <c r="L2" s="8" t="s">
        <v>9</v>
      </c>
      <c r="M2" s="8" t="s">
        <v>10</v>
      </c>
      <c r="N2" s="8" t="s">
        <v>11</v>
      </c>
      <c r="O2" s="8" t="s">
        <v>12</v>
      </c>
      <c r="P2" s="9" t="s">
        <v>13</v>
      </c>
      <c r="Q2" s="9" t="s">
        <v>14</v>
      </c>
      <c r="R2" s="10" t="s">
        <v>15</v>
      </c>
      <c r="S2" s="10" t="s">
        <v>16</v>
      </c>
      <c r="T2" s="16" t="s">
        <v>142</v>
      </c>
      <c r="U2" s="13" t="s">
        <v>142</v>
      </c>
      <c r="V2" s="13" t="s">
        <v>143</v>
      </c>
      <c r="W2" s="16" t="s">
        <v>142</v>
      </c>
      <c r="X2" s="13" t="s">
        <v>142</v>
      </c>
      <c r="Y2" s="13" t="s">
        <v>143</v>
      </c>
      <c r="Z2" s="13" t="s">
        <v>233</v>
      </c>
    </row>
    <row r="3" spans="1:26">
      <c r="A3" s="11" t="s">
        <v>17</v>
      </c>
      <c r="B3" s="11" t="s">
        <v>18</v>
      </c>
      <c r="C3" s="11" t="s">
        <v>153</v>
      </c>
      <c r="D3" s="11" t="s">
        <v>192</v>
      </c>
      <c r="E3" s="11">
        <f>VLOOKUP(A3,[1]SLA!C:G,5,)</f>
        <v>63.4661693633116</v>
      </c>
      <c r="F3" s="11">
        <f>VLOOKUP(A3,[1]SLA!C:I,7,)</f>
        <v>30.20355</v>
      </c>
      <c r="G3" s="11">
        <f>VLOOKUP(A3,[1]DBH_H!B:D,3,)</f>
        <v>14</v>
      </c>
      <c r="H3" s="11">
        <f>VLOOKUP(A3,[1]DBH_H!B:C,2,)</f>
        <v>20.3</v>
      </c>
      <c r="I3" s="6">
        <f>VLOOKUP(A3,'[1]root data'!B:J,9,)</f>
        <v>0.16582914572864321</v>
      </c>
      <c r="J3" s="6">
        <f>VLOOKUP(A3,'[1]root data'!B:K,10,)</f>
        <v>81.405318638507495</v>
      </c>
      <c r="K3" s="6">
        <f>VLOOKUP(A3,'[1]root data'!B:L,11,)</f>
        <v>61.525761247842802</v>
      </c>
      <c r="L3" s="6">
        <f>VLOOKUP(A3,'[1]root data'!B:M,12,)</f>
        <v>0.255</v>
      </c>
      <c r="M3" s="6">
        <f>VLOOKUP(A3,'[1]root data'!B:Q,16,)</f>
        <v>203.72848484848484</v>
      </c>
      <c r="N3" s="6">
        <f>VLOOKUP(A3,'[1]root data'!B:R,17,)</f>
        <v>1616.2393939393939</v>
      </c>
      <c r="O3" s="6">
        <f>VLOOKUP(A3,'[1]root data'!B:S,18,)</f>
        <v>7.9908952224132496E-2</v>
      </c>
      <c r="P3" s="11">
        <f>VLOOKUP(A3,[1]leaf_photosynthesis!B:C,2,)</f>
        <v>7.3651767489999997</v>
      </c>
      <c r="Q3" s="11">
        <f>VLOOKUP(A3,[1]leaf_photosynthesis!B:D,3,)</f>
        <v>33.752024444944396</v>
      </c>
      <c r="R3" s="11">
        <f>VLOOKUP(A3,[1]leaf_respiration!B:C,2,)</f>
        <v>-0.91404340954095198</v>
      </c>
      <c r="S3" s="11">
        <f>VLOOKUP(A3,[1]leaf_respiration!B:D,3,)</f>
        <v>-0.23092325393856999</v>
      </c>
      <c r="T3">
        <v>1.26</v>
      </c>
      <c r="U3">
        <v>47.71</v>
      </c>
      <c r="V3">
        <v>0.66</v>
      </c>
      <c r="W3">
        <v>0.78</v>
      </c>
      <c r="X3">
        <v>47.62</v>
      </c>
      <c r="Y3">
        <v>0.43</v>
      </c>
      <c r="Z3">
        <v>-29.402999999999999</v>
      </c>
    </row>
    <row r="4" spans="1:26">
      <c r="A4" s="11" t="s">
        <v>19</v>
      </c>
      <c r="B4" s="11" t="s">
        <v>18</v>
      </c>
      <c r="C4" s="11" t="s">
        <v>153</v>
      </c>
      <c r="D4" s="11" t="s">
        <v>192</v>
      </c>
      <c r="E4" s="11">
        <f>VLOOKUP(A4,[1]SLA!C:G,5,)</f>
        <v>74.404025641025697</v>
      </c>
      <c r="F4" s="11">
        <f>VLOOKUP(A4,[1]SLA!C:I,7,)</f>
        <v>29.017569999999999</v>
      </c>
      <c r="G4" s="11">
        <f>VLOOKUP(A4,[1]DBH_H!B:D,3,)</f>
        <v>14</v>
      </c>
      <c r="H4" s="11">
        <f>VLOOKUP(A4,[1]DBH_H!B:C,2,)</f>
        <v>22.6</v>
      </c>
      <c r="I4" s="6" t="e">
        <f>VLOOKUP(A4,'[1]root data'!B:J,9,)</f>
        <v>#N/A</v>
      </c>
      <c r="J4" s="6" t="e">
        <f>VLOOKUP(A4,'[1]root data'!B:K,10,)</f>
        <v>#N/A</v>
      </c>
      <c r="K4" s="6" t="e">
        <f>VLOOKUP(A4,'[1]root data'!B:L,11,)</f>
        <v>#N/A</v>
      </c>
      <c r="L4" s="6" t="e">
        <f>VLOOKUP(A4,'[1]root data'!B:M,12,)</f>
        <v>#N/A</v>
      </c>
      <c r="M4" s="6" t="e">
        <f>VLOOKUP(A4,'[1]root data'!B:Q,16,)</f>
        <v>#N/A</v>
      </c>
      <c r="N4" s="6" t="e">
        <f>VLOOKUP(A4,'[1]root data'!B:R,17,)</f>
        <v>#N/A</v>
      </c>
      <c r="O4" s="6" t="e">
        <f>VLOOKUP(A4,'[1]root data'!B:S,18,)</f>
        <v>#N/A</v>
      </c>
      <c r="P4" s="11">
        <f>VLOOKUP(A4,[1]leaf_photosynthesis!B:C,2,)</f>
        <v>1.981656321</v>
      </c>
      <c r="Q4" s="11">
        <f>VLOOKUP(A4,[1]leaf_photosynthesis!B:D,3,)</f>
        <v>11.2165915304266</v>
      </c>
      <c r="R4" s="11" t="e">
        <f>VLOOKUP(A4,[1]leaf_respiration!B:C,2,)</f>
        <v>#N/A</v>
      </c>
      <c r="S4" s="11" t="e">
        <f>VLOOKUP(A4,[1]leaf_respiration!B:D,3,)</f>
        <v>#N/A</v>
      </c>
      <c r="T4">
        <v>1.47</v>
      </c>
      <c r="U4">
        <v>48.68</v>
      </c>
      <c r="V4">
        <v>0.81</v>
      </c>
      <c r="Z4">
        <v>-29.622</v>
      </c>
    </row>
    <row r="5" spans="1:26">
      <c r="A5" s="11" t="s">
        <v>20</v>
      </c>
      <c r="B5" s="11" t="s">
        <v>18</v>
      </c>
      <c r="C5" s="11" t="s">
        <v>153</v>
      </c>
      <c r="D5" s="11" t="s">
        <v>192</v>
      </c>
      <c r="E5" s="11">
        <f>VLOOKUP(A5,[1]SLA!C:G,5,)</f>
        <v>65.491164503003304</v>
      </c>
      <c r="F5" s="11">
        <f>VLOOKUP(A5,[1]SLA!C:I,7,)</f>
        <v>33.799990000000001</v>
      </c>
      <c r="G5" s="11">
        <f>VLOOKUP(A5,[1]DBH_H!B:D,3,)</f>
        <v>13</v>
      </c>
      <c r="H5" s="11">
        <f>VLOOKUP(A5,[1]DBH_H!B:C,2,)</f>
        <v>23.3</v>
      </c>
      <c r="I5" s="6" t="e">
        <f>VLOOKUP(A5,'[1]root data'!B:J,9,)</f>
        <v>#N/A</v>
      </c>
      <c r="J5" s="6" t="e">
        <f>VLOOKUP(A5,'[1]root data'!B:K,10,)</f>
        <v>#N/A</v>
      </c>
      <c r="K5" s="6" t="e">
        <f>VLOOKUP(A5,'[1]root data'!B:L,11,)</f>
        <v>#N/A</v>
      </c>
      <c r="L5" s="6" t="e">
        <f>VLOOKUP(A5,'[1]root data'!B:M,12,)</f>
        <v>#N/A</v>
      </c>
      <c r="M5" s="6" t="e">
        <f>VLOOKUP(A5,'[1]root data'!B:Q,16,)</f>
        <v>#N/A</v>
      </c>
      <c r="N5" s="6" t="e">
        <f>VLOOKUP(A5,'[1]root data'!B:R,17,)</f>
        <v>#N/A</v>
      </c>
      <c r="O5" s="6" t="e">
        <f>VLOOKUP(A5,'[1]root data'!B:S,18,)</f>
        <v>#N/A</v>
      </c>
      <c r="P5" s="11">
        <f>VLOOKUP(A5,[1]leaf_photosynthesis!B:C,2,)</f>
        <v>4.9287592250000003</v>
      </c>
      <c r="Q5" s="11">
        <f>VLOOKUP(A5,[1]leaf_photosynthesis!B:D,3,)</f>
        <v>24.858643700355199</v>
      </c>
      <c r="R5" s="11" t="e">
        <f>VLOOKUP(A5,[1]leaf_respiration!B:C,2,)</f>
        <v>#N/A</v>
      </c>
      <c r="S5" s="11" t="e">
        <f>VLOOKUP(A5,[1]leaf_respiration!B:D,3,)</f>
        <v>#N/A</v>
      </c>
      <c r="T5">
        <v>1.49</v>
      </c>
      <c r="U5">
        <v>48.93</v>
      </c>
      <c r="V5">
        <v>0.88</v>
      </c>
      <c r="Z5">
        <v>-30.138999999999999</v>
      </c>
    </row>
    <row r="6" spans="1:26">
      <c r="A6" s="11" t="s">
        <v>21</v>
      </c>
      <c r="B6" s="11" t="s">
        <v>22</v>
      </c>
      <c r="C6" s="11" t="s">
        <v>154</v>
      </c>
      <c r="D6" s="11" t="s">
        <v>193</v>
      </c>
      <c r="E6" s="11">
        <f>VLOOKUP(A6,[1]SLA!C:G,5,)</f>
        <v>136.54162508909499</v>
      </c>
      <c r="F6" s="11">
        <f>VLOOKUP(A6,[1]SLA!C:I,7,)</f>
        <v>19.156790000000001</v>
      </c>
      <c r="G6" s="11">
        <f>VLOOKUP(A6,[1]DBH_H!B:D,3,)</f>
        <v>12</v>
      </c>
      <c r="H6" s="11">
        <f>VLOOKUP(A6,[1]DBH_H!B:C,2,)</f>
        <v>19.100000000000001</v>
      </c>
      <c r="I6" s="6">
        <f>VLOOKUP(A6,'[1]root data'!B:J,9,)</f>
        <v>0.36521739130434783</v>
      </c>
      <c r="J6" s="6">
        <f>VLOOKUP(A6,'[1]root data'!B:K,10,)</f>
        <v>20.681981311471901</v>
      </c>
      <c r="K6" s="6">
        <f>VLOOKUP(A6,'[1]root data'!B:L,11,)</f>
        <v>17.279677295769599</v>
      </c>
      <c r="L6" s="6">
        <f>VLOOKUP(A6,'[1]root data'!B:M,12,)</f>
        <v>0.312</v>
      </c>
      <c r="M6" s="6">
        <f>VLOOKUP(A6,'[1]root data'!B:Q,16,)</f>
        <v>41.380238095238099</v>
      </c>
      <c r="N6" s="6">
        <f>VLOOKUP(A6,'[1]root data'!B:R,17,)</f>
        <v>404.93928571428575</v>
      </c>
      <c r="O6" s="6">
        <f>VLOOKUP(A6,'[1]root data'!B:S,18,)</f>
        <v>0.29190992493744788</v>
      </c>
      <c r="P6" s="11">
        <f>VLOOKUP(A6,[1]leaf_photosynthesis!B:C,2,)</f>
        <v>15.43805732</v>
      </c>
      <c r="Q6" s="11">
        <f>VLOOKUP(A6,[1]leaf_photosynthesis!B:D,3,)</f>
        <v>80.585067587193805</v>
      </c>
      <c r="R6" s="11">
        <f>VLOOKUP(A6,[1]leaf_respiration!B:C,2,)</f>
        <v>-1.2330945689974699</v>
      </c>
      <c r="S6" s="11">
        <f>VLOOKUP(A6,[1]leaf_respiration!B:D,3,)</f>
        <v>-0.22897216714736299</v>
      </c>
      <c r="T6">
        <v>1.93</v>
      </c>
      <c r="U6">
        <v>50.12</v>
      </c>
      <c r="V6">
        <v>0.87</v>
      </c>
      <c r="W6">
        <v>0.74</v>
      </c>
      <c r="X6">
        <v>46.67</v>
      </c>
      <c r="Y6">
        <v>0.36</v>
      </c>
      <c r="Z6">
        <v>-31.135000000000002</v>
      </c>
    </row>
    <row r="7" spans="1:26">
      <c r="A7" s="11" t="s">
        <v>23</v>
      </c>
      <c r="B7" s="11" t="s">
        <v>22</v>
      </c>
      <c r="C7" s="11" t="s">
        <v>154</v>
      </c>
      <c r="D7" s="11" t="s">
        <v>193</v>
      </c>
      <c r="E7" s="11">
        <f>VLOOKUP(A7,[1]SLA!C:G,5,)</f>
        <v>121.09554669325399</v>
      </c>
      <c r="F7" s="11">
        <f>VLOOKUP(A7,[1]SLA!C:I,7,)</f>
        <v>36.437650000000005</v>
      </c>
      <c r="G7" s="11">
        <f>VLOOKUP(A7,[1]DBH_H!B:D,3,)</f>
        <v>9.5</v>
      </c>
      <c r="H7" s="11">
        <f>VLOOKUP(A7,[1]DBH_H!B:C,2,)</f>
        <v>12.4</v>
      </c>
      <c r="I7" s="6" t="e">
        <f>VLOOKUP(A7,'[1]root data'!B:J,9,)</f>
        <v>#N/A</v>
      </c>
      <c r="J7" s="6" t="e">
        <f>VLOOKUP(A7,'[1]root data'!B:K,10,)</f>
        <v>#N/A</v>
      </c>
      <c r="K7" s="6" t="e">
        <f>VLOOKUP(A7,'[1]root data'!B:L,11,)</f>
        <v>#N/A</v>
      </c>
      <c r="L7" s="6" t="e">
        <f>VLOOKUP(A7,'[1]root data'!B:M,12,)</f>
        <v>#N/A</v>
      </c>
      <c r="M7" s="6" t="e">
        <f>VLOOKUP(A7,'[1]root data'!B:Q,16,)</f>
        <v>#N/A</v>
      </c>
      <c r="N7" s="6" t="e">
        <f>VLOOKUP(A7,'[1]root data'!B:R,17,)</f>
        <v>#N/A</v>
      </c>
      <c r="O7" s="6" t="e">
        <f>VLOOKUP(A7,'[1]root data'!B:S,18,)</f>
        <v>#N/A</v>
      </c>
      <c r="P7" s="11">
        <f>VLOOKUP(A7,[1]leaf_photosynthesis!B:C,2,)</f>
        <v>5.7592626320000004</v>
      </c>
      <c r="Q7" s="11">
        <f>VLOOKUP(A7,[1]leaf_photosynthesis!B:D,3,)</f>
        <v>26.1394826426123</v>
      </c>
      <c r="R7" s="11" t="e">
        <f>VLOOKUP(A7,[1]leaf_respiration!B:C,2,)</f>
        <v>#N/A</v>
      </c>
      <c r="S7" s="11" t="e">
        <f>VLOOKUP(A7,[1]leaf_respiration!B:D,3,)</f>
        <v>#N/A</v>
      </c>
      <c r="T7">
        <v>1.89</v>
      </c>
      <c r="U7">
        <v>50.71</v>
      </c>
      <c r="V7">
        <v>0.71</v>
      </c>
      <c r="Z7">
        <v>-30.335000000000001</v>
      </c>
    </row>
    <row r="8" spans="1:26">
      <c r="A8" s="11" t="s">
        <v>24</v>
      </c>
      <c r="B8" s="11" t="s">
        <v>22</v>
      </c>
      <c r="C8" s="11" t="s">
        <v>154</v>
      </c>
      <c r="D8" s="11" t="s">
        <v>193</v>
      </c>
      <c r="E8" s="11">
        <f>VLOOKUP(A8,[1]SLA!C:G,5,)</f>
        <v>149.051715039578</v>
      </c>
      <c r="F8" s="11">
        <f>VLOOKUP(A8,[1]SLA!C:I,7,)</f>
        <v>28.245299999999997</v>
      </c>
      <c r="G8" s="11">
        <f>VLOOKUP(A8,[1]DBH_H!B:D,3,)</f>
        <v>12.5</v>
      </c>
      <c r="H8" s="11">
        <f>VLOOKUP(A8,[1]DBH_H!B:C,2,)</f>
        <v>18</v>
      </c>
      <c r="I8" s="6" t="e">
        <f>VLOOKUP(A8,'[1]root data'!B:J,9,)</f>
        <v>#N/A</v>
      </c>
      <c r="J8" s="6" t="e">
        <f>VLOOKUP(A8,'[1]root data'!B:K,10,)</f>
        <v>#N/A</v>
      </c>
      <c r="K8" s="6" t="e">
        <f>VLOOKUP(A8,'[1]root data'!B:L,11,)</f>
        <v>#N/A</v>
      </c>
      <c r="L8" s="6" t="e">
        <f>VLOOKUP(A8,'[1]root data'!B:M,12,)</f>
        <v>#N/A</v>
      </c>
      <c r="M8" s="6" t="e">
        <f>VLOOKUP(A8,'[1]root data'!B:Q,16,)</f>
        <v>#N/A</v>
      </c>
      <c r="N8" s="6" t="e">
        <f>VLOOKUP(A8,'[1]root data'!B:R,17,)</f>
        <v>#N/A</v>
      </c>
      <c r="O8" s="6" t="e">
        <f>VLOOKUP(A8,'[1]root data'!B:S,18,)</f>
        <v>#N/A</v>
      </c>
      <c r="P8" s="11">
        <f>VLOOKUP(A8,[1]leaf_photosynthesis!B:C,2,)</f>
        <v>6.3069234400000003</v>
      </c>
      <c r="Q8" s="11">
        <f>VLOOKUP(A8,[1]leaf_photosynthesis!B:D,3,)</f>
        <v>28.032982724989601</v>
      </c>
      <c r="R8" s="11" t="e">
        <f>VLOOKUP(A8,[1]leaf_respiration!B:C,2,)</f>
        <v>#N/A</v>
      </c>
      <c r="S8" s="11" t="e">
        <f>VLOOKUP(A8,[1]leaf_respiration!B:D,3,)</f>
        <v>#N/A</v>
      </c>
      <c r="T8">
        <v>2.0099999999999998</v>
      </c>
      <c r="U8">
        <v>50.47</v>
      </c>
      <c r="V8">
        <v>0.97</v>
      </c>
      <c r="Z8">
        <v>-31.398</v>
      </c>
    </row>
    <row r="9" spans="1:26">
      <c r="A9" s="11" t="s">
        <v>25</v>
      </c>
      <c r="B9" s="11" t="s">
        <v>26</v>
      </c>
      <c r="C9" s="11" t="s">
        <v>155</v>
      </c>
      <c r="D9" s="11" t="s">
        <v>194</v>
      </c>
      <c r="E9" s="11">
        <f>VLOOKUP(A9,[1]SLA!C:G,5,)</f>
        <v>82.540060240963896</v>
      </c>
      <c r="F9" s="11">
        <f>VLOOKUP(A9,[1]SLA!C:I,7,)</f>
        <v>16.441979999999997</v>
      </c>
      <c r="G9" s="11">
        <f>VLOOKUP(A9,[1]DBH_H!B:D,3,)</f>
        <v>11.8</v>
      </c>
      <c r="H9" s="11">
        <f>VLOOKUP(A9,[1]DBH_H!B:C,2,)</f>
        <v>27.7</v>
      </c>
      <c r="I9" s="6">
        <f>VLOOKUP(A9,'[1]root data'!B:J,9,)</f>
        <v>0.55629139072847678</v>
      </c>
      <c r="J9" s="6">
        <f>VLOOKUP(A9,'[1]root data'!B:K,10,)</f>
        <v>10.272710757051099</v>
      </c>
      <c r="K9" s="6">
        <f>VLOOKUP(A9,'[1]root data'!B:L,11,)</f>
        <v>7.6859137667405797</v>
      </c>
      <c r="L9" s="6">
        <f>VLOOKUP(A9,'[1]root data'!B:M,12,)</f>
        <v>0.28799999999999998</v>
      </c>
      <c r="M9" s="6">
        <f>VLOOKUP(A9,'[1]root data'!B:Q,16,)</f>
        <v>56.427500000000002</v>
      </c>
      <c r="N9" s="6">
        <f>VLOOKUP(A9,'[1]root data'!B:R,17,)</f>
        <v>504.56071428571437</v>
      </c>
      <c r="O9" s="6">
        <f>VLOOKUP(A9,'[1]root data'!B:S,18,)</f>
        <v>0.22966507177033491</v>
      </c>
      <c r="P9" s="11">
        <f>VLOOKUP(A9,[1]leaf_photosynthesis!B:C,2,)</f>
        <v>6.3769417659999998</v>
      </c>
      <c r="Q9" s="11">
        <f>VLOOKUP(A9,[1]leaf_photosynthesis!B:D,3,)</f>
        <v>32.910466251886099</v>
      </c>
      <c r="R9" s="11">
        <f>VLOOKUP(A9,[1]leaf_respiration!B:C,2,)</f>
        <v>-0.40589999999999998</v>
      </c>
      <c r="S9" s="11">
        <f>VLOOKUP(A9,[1]leaf_respiration!B:D,3,)</f>
        <v>-3.1811006351600397E-2</v>
      </c>
      <c r="T9">
        <v>1.31</v>
      </c>
      <c r="U9">
        <v>49.21</v>
      </c>
      <c r="V9">
        <v>0.52</v>
      </c>
      <c r="W9">
        <v>0.75</v>
      </c>
      <c r="X9">
        <v>46.21</v>
      </c>
      <c r="Y9">
        <v>0.51</v>
      </c>
      <c r="Z9">
        <v>-32.033999999999999</v>
      </c>
    </row>
    <row r="10" spans="1:26">
      <c r="A10" s="11" t="s">
        <v>27</v>
      </c>
      <c r="B10" s="11" t="s">
        <v>26</v>
      </c>
      <c r="C10" s="11" t="s">
        <v>155</v>
      </c>
      <c r="D10" s="11" t="s">
        <v>194</v>
      </c>
      <c r="E10" s="11">
        <f>VLOOKUP(A10,[1]SLA!C:G,5,)</f>
        <v>71.993475073313803</v>
      </c>
      <c r="F10" s="11">
        <f>VLOOKUP(A10,[1]SLA!C:I,7,)</f>
        <v>19.63982</v>
      </c>
      <c r="G10" s="11">
        <f>VLOOKUP(A10,[1]DBH_H!B:D,3,)</f>
        <v>8.5</v>
      </c>
      <c r="H10" s="11">
        <f>VLOOKUP(A10,[1]DBH_H!B:C,2,)</f>
        <v>13</v>
      </c>
      <c r="I10" s="6" t="e">
        <f>VLOOKUP(A10,'[1]root data'!B:J,9,)</f>
        <v>#N/A</v>
      </c>
      <c r="J10" s="6" t="e">
        <f>VLOOKUP(A10,'[1]root data'!B:K,10,)</f>
        <v>#N/A</v>
      </c>
      <c r="K10" s="6" t="e">
        <f>VLOOKUP(A10,'[1]root data'!B:L,11,)</f>
        <v>#N/A</v>
      </c>
      <c r="L10" s="6" t="e">
        <f>VLOOKUP(A10,'[1]root data'!B:M,12,)</f>
        <v>#N/A</v>
      </c>
      <c r="M10" s="6" t="e">
        <f>VLOOKUP(A10,'[1]root data'!B:Q,16,)</f>
        <v>#N/A</v>
      </c>
      <c r="N10" s="6" t="e">
        <f>VLOOKUP(A10,'[1]root data'!B:R,17,)</f>
        <v>#N/A</v>
      </c>
      <c r="O10" s="6" t="e">
        <f>VLOOKUP(A10,'[1]root data'!B:S,18,)</f>
        <v>#N/A</v>
      </c>
      <c r="P10" s="11">
        <f>VLOOKUP(A10,[1]leaf_photosynthesis!B:C,2,)</f>
        <v>10.096939190000001</v>
      </c>
      <c r="Q10" s="11">
        <f>VLOOKUP(A10,[1]leaf_photosynthesis!B:D,3,)</f>
        <v>40.519307670553403</v>
      </c>
      <c r="R10" s="11" t="e">
        <f>VLOOKUP(A10,[1]leaf_respiration!B:C,2,)</f>
        <v>#N/A</v>
      </c>
      <c r="S10" s="11" t="e">
        <f>VLOOKUP(A10,[1]leaf_respiration!B:D,3,)</f>
        <v>#N/A</v>
      </c>
      <c r="T10">
        <v>1.28</v>
      </c>
      <c r="U10">
        <v>49.69</v>
      </c>
      <c r="V10">
        <v>0.84</v>
      </c>
      <c r="Z10">
        <v>-32.593000000000004</v>
      </c>
    </row>
    <row r="11" spans="1:26">
      <c r="A11" s="11" t="s">
        <v>28</v>
      </c>
      <c r="B11" s="11" t="s">
        <v>26</v>
      </c>
      <c r="C11" s="11" t="s">
        <v>155</v>
      </c>
      <c r="D11" s="11" t="s">
        <v>194</v>
      </c>
      <c r="E11" s="11">
        <f>VLOOKUP(A11,[1]SLA!C:G,5,)</f>
        <v>79.858265078183194</v>
      </c>
      <c r="F11" s="11">
        <f>VLOOKUP(A11,[1]SLA!C:I,7,)</f>
        <v>21.449929999999998</v>
      </c>
      <c r="G11" s="11">
        <f>VLOOKUP(A11,[1]DBH_H!B:D,3,)</f>
        <v>11</v>
      </c>
      <c r="H11" s="11">
        <f>VLOOKUP(A11,[1]DBH_H!B:C,2,)</f>
        <v>22.5</v>
      </c>
      <c r="I11" s="6" t="e">
        <f>VLOOKUP(A11,'[1]root data'!B:J,9,)</f>
        <v>#N/A</v>
      </c>
      <c r="J11" s="6" t="e">
        <f>VLOOKUP(A11,'[1]root data'!B:K,10,)</f>
        <v>#N/A</v>
      </c>
      <c r="K11" s="6" t="e">
        <f>VLOOKUP(A11,'[1]root data'!B:L,11,)</f>
        <v>#N/A</v>
      </c>
      <c r="L11" s="6" t="e">
        <f>VLOOKUP(A11,'[1]root data'!B:M,12,)</f>
        <v>#N/A</v>
      </c>
      <c r="M11" s="6" t="e">
        <f>VLOOKUP(A11,'[1]root data'!B:Q,16,)</f>
        <v>#N/A</v>
      </c>
      <c r="N11" s="6" t="e">
        <f>VLOOKUP(A11,'[1]root data'!B:R,17,)</f>
        <v>#N/A</v>
      </c>
      <c r="O11" s="6" t="e">
        <f>VLOOKUP(A11,'[1]root data'!B:S,18,)</f>
        <v>#N/A</v>
      </c>
      <c r="P11" s="11">
        <f>VLOOKUP(A11,[1]leaf_photosynthesis!B:C,2,)</f>
        <v>1.0662428939999999</v>
      </c>
      <c r="Q11" s="11">
        <f>VLOOKUP(A11,[1]leaf_photosynthesis!B:D,3,)</f>
        <v>3.9210391881490598</v>
      </c>
      <c r="R11" s="11" t="e">
        <f>VLOOKUP(A11,[1]leaf_respiration!B:C,2,)</f>
        <v>#N/A</v>
      </c>
      <c r="S11" s="11" t="e">
        <f>VLOOKUP(A11,[1]leaf_respiration!B:D,3,)</f>
        <v>#N/A</v>
      </c>
      <c r="T11">
        <v>1.35</v>
      </c>
      <c r="U11">
        <v>49.89</v>
      </c>
      <c r="V11">
        <v>0.56999999999999995</v>
      </c>
      <c r="Z11">
        <v>-31.852</v>
      </c>
    </row>
    <row r="12" spans="1:26">
      <c r="A12" s="6" t="s">
        <v>29</v>
      </c>
      <c r="B12" s="11" t="s">
        <v>30</v>
      </c>
      <c r="C12" s="11" t="s">
        <v>156</v>
      </c>
      <c r="D12" s="11" t="s">
        <v>195</v>
      </c>
      <c r="E12" s="11">
        <f>VLOOKUP(A12,[1]SLA!C:G,5,)</f>
        <v>141.56332958380199</v>
      </c>
      <c r="F12" s="11">
        <f>VLOOKUP(A12,[1]SLA!C:I,7,)</f>
        <v>25.16996</v>
      </c>
      <c r="G12" s="11">
        <f>VLOOKUP(A12,[1]DBH_H!B:D,3,)</f>
        <v>11.8</v>
      </c>
      <c r="H12" s="11">
        <f>VLOOKUP(A12,[1]DBH_H!B:C,2,)</f>
        <v>13.7</v>
      </c>
      <c r="I12" s="6">
        <f>VLOOKUP(A12,'[1]root data'!B:J,9,)</f>
        <v>0.38860103626942999</v>
      </c>
      <c r="J12" s="6">
        <f>VLOOKUP(A12,'[1]root data'!B:K,10,)</f>
        <v>25.2097553451108</v>
      </c>
      <c r="K12" s="6">
        <f>VLOOKUP(A12,'[1]root data'!B:L,11,)</f>
        <v>19.352321625627599</v>
      </c>
      <c r="L12" s="6">
        <f>VLOOKUP(A12,'[1]root data'!B:M,12,)</f>
        <v>0.316</v>
      </c>
      <c r="M12" s="6">
        <f>VLOOKUP(A12,'[1]root data'!B:Q,16,)</f>
        <v>46.6616</v>
      </c>
      <c r="N12" s="6">
        <f>VLOOKUP(A12,'[1]root data'!B:R,17,)</f>
        <v>460.29733333333337</v>
      </c>
      <c r="O12" s="6">
        <f>VLOOKUP(A12,'[1]root data'!B:S,18,)</f>
        <v>0.23161730644513756</v>
      </c>
      <c r="P12" s="11">
        <f>VLOOKUP(A12,[1]leaf_photosynthesis!B:C,2,)</f>
        <v>6.7841563450000004</v>
      </c>
      <c r="Q12" s="11">
        <f>VLOOKUP(A12,[1]leaf_photosynthesis!B:D,3,)</f>
        <v>42.065883591504502</v>
      </c>
      <c r="R12" s="11">
        <f>VLOOKUP(A12,[1]leaf_respiration!B:C,2,)</f>
        <v>-1.10143295826364</v>
      </c>
      <c r="S12" s="11">
        <f>VLOOKUP(A12,[1]leaf_respiration!B:D,3,)</f>
        <v>-6.9563135588777802E-2</v>
      </c>
      <c r="T12">
        <v>1.98</v>
      </c>
      <c r="U12">
        <v>51.65</v>
      </c>
      <c r="V12">
        <v>0.77</v>
      </c>
      <c r="W12">
        <v>0.71</v>
      </c>
      <c r="X12">
        <v>47.36</v>
      </c>
      <c r="Y12">
        <v>0.39</v>
      </c>
      <c r="Z12">
        <v>-30.666</v>
      </c>
    </row>
    <row r="13" spans="1:26">
      <c r="A13" s="11" t="s">
        <v>31</v>
      </c>
      <c r="B13" s="11" t="s">
        <v>32</v>
      </c>
      <c r="C13" s="11" t="s">
        <v>157</v>
      </c>
      <c r="D13" s="11" t="s">
        <v>196</v>
      </c>
      <c r="E13" s="11">
        <f>VLOOKUP(A13,[1]SLA!C:G,5,)</f>
        <v>97.436673151750995</v>
      </c>
      <c r="F13" s="11">
        <f>VLOOKUP(A13,[1]SLA!C:I,7,)</f>
        <v>20.032979999999998</v>
      </c>
      <c r="G13" s="11">
        <f>VLOOKUP(A13,[1]DBH_H!B:D,3,)</f>
        <v>13</v>
      </c>
      <c r="H13" s="11">
        <f>VLOOKUP(A13,[1]DBH_H!B:C,2,)</f>
        <v>19.5</v>
      </c>
      <c r="I13" s="6">
        <f>VLOOKUP(A13,'[1]root data'!B:J,9,)</f>
        <v>0.36764705882352938</v>
      </c>
      <c r="J13" s="6">
        <f>VLOOKUP(A13,'[1]root data'!B:K,10,)</f>
        <v>85.338147019484893</v>
      </c>
      <c r="K13" s="6">
        <f>VLOOKUP(A13,'[1]root data'!B:L,11,)</f>
        <v>65.167602699162501</v>
      </c>
      <c r="L13" s="6">
        <f>VLOOKUP(A13,'[1]root data'!B:M,12,)</f>
        <v>0.32300000000000001</v>
      </c>
      <c r="M13" s="6">
        <f>VLOOKUP(A13,'[1]root data'!B:Q,16,)</f>
        <v>67.749066666666664</v>
      </c>
      <c r="N13" s="6">
        <f>VLOOKUP(A13,'[1]root data'!B:R,17,)</f>
        <v>683.75066666666669</v>
      </c>
      <c r="O13" s="6">
        <f>VLOOKUP(A13,'[1]root data'!B:S,18,)</f>
        <v>0.15531487502329722</v>
      </c>
      <c r="P13" s="11">
        <f>VLOOKUP(A13,[1]leaf_photosynthesis!B:C,2,)</f>
        <v>6.087925866</v>
      </c>
      <c r="Q13" s="11">
        <f>VLOOKUP(A13,[1]leaf_photosynthesis!B:D,3,)</f>
        <v>31.973714409577401</v>
      </c>
      <c r="R13" s="11">
        <f>VLOOKUP(A13,[1]leaf_respiration!B:C,2,)</f>
        <v>-1.02765935809554</v>
      </c>
      <c r="S13" s="11">
        <f>VLOOKUP(A13,[1]leaf_respiration!B:D,3,)</f>
        <v>-0.70500381445556304</v>
      </c>
      <c r="T13">
        <v>1.4</v>
      </c>
      <c r="U13">
        <v>48.68</v>
      </c>
      <c r="V13">
        <v>0.71</v>
      </c>
      <c r="W13">
        <v>1.01</v>
      </c>
      <c r="X13">
        <v>46.05</v>
      </c>
      <c r="Y13">
        <v>0.45</v>
      </c>
      <c r="Z13">
        <v>-30.997</v>
      </c>
    </row>
    <row r="14" spans="1:26">
      <c r="A14" s="11" t="s">
        <v>33</v>
      </c>
      <c r="B14" s="11" t="s">
        <v>32</v>
      </c>
      <c r="C14" s="11" t="s">
        <v>157</v>
      </c>
      <c r="D14" s="11" t="s">
        <v>196</v>
      </c>
      <c r="E14" s="11">
        <f>VLOOKUP(A14,[1]SLA!C:G,5,)</f>
        <v>98.382623509369694</v>
      </c>
      <c r="F14" s="11">
        <f>VLOOKUP(A14,[1]SLA!C:I,7,)</f>
        <v>17.32518</v>
      </c>
      <c r="G14" s="11">
        <f>VLOOKUP(A14,[1]DBH_H!B:D,3,)</f>
        <v>13</v>
      </c>
      <c r="H14" s="11">
        <f>VLOOKUP(A14,[1]DBH_H!B:C,2,)</f>
        <v>15</v>
      </c>
      <c r="I14" s="6" t="e">
        <f>VLOOKUP(A14,'[1]root data'!B:J,9,)</f>
        <v>#N/A</v>
      </c>
      <c r="J14" s="6" t="e">
        <f>VLOOKUP(A14,'[1]root data'!B:K,10,)</f>
        <v>#N/A</v>
      </c>
      <c r="K14" s="6" t="e">
        <f>VLOOKUP(A14,'[1]root data'!B:L,11,)</f>
        <v>#N/A</v>
      </c>
      <c r="L14" s="6" t="e">
        <f>VLOOKUP(A14,'[1]root data'!B:M,12,)</f>
        <v>#N/A</v>
      </c>
      <c r="M14" s="6" t="e">
        <f>VLOOKUP(A14,'[1]root data'!B:Q,16,)</f>
        <v>#N/A</v>
      </c>
      <c r="N14" s="6" t="e">
        <f>VLOOKUP(A14,'[1]root data'!B:R,17,)</f>
        <v>#N/A</v>
      </c>
      <c r="O14" s="6" t="e">
        <f>VLOOKUP(A14,'[1]root data'!B:S,18,)</f>
        <v>#N/A</v>
      </c>
      <c r="P14" s="11">
        <f>VLOOKUP(A14,[1]leaf_photosynthesis!B:C,2,)</f>
        <v>4.0517674760000002</v>
      </c>
      <c r="Q14" s="11">
        <f>VLOOKUP(A14,[1]leaf_photosynthesis!B:D,3,)</f>
        <v>19.3684828777129</v>
      </c>
      <c r="R14" s="11" t="e">
        <f>VLOOKUP(A14,[1]leaf_respiration!B:C,2,)</f>
        <v>#N/A</v>
      </c>
      <c r="S14" s="11" t="e">
        <f>VLOOKUP(A14,[1]leaf_respiration!B:D,3,)</f>
        <v>#N/A</v>
      </c>
      <c r="T14">
        <v>1.49</v>
      </c>
      <c r="U14">
        <v>49.49</v>
      </c>
      <c r="V14">
        <v>0.77</v>
      </c>
      <c r="Z14">
        <v>-29.363</v>
      </c>
    </row>
    <row r="15" spans="1:26">
      <c r="A15" s="11" t="s">
        <v>34</v>
      </c>
      <c r="B15" s="11" t="s">
        <v>32</v>
      </c>
      <c r="C15" s="11" t="s">
        <v>157</v>
      </c>
      <c r="D15" s="11" t="s">
        <v>196</v>
      </c>
      <c r="E15" s="11">
        <f>VLOOKUP(A15,[1]SLA!C:G,5,)</f>
        <v>127.487484885127</v>
      </c>
      <c r="F15" s="11">
        <f>VLOOKUP(A15,[1]SLA!C:I,7,)</f>
        <v>21.08643</v>
      </c>
      <c r="G15" s="11">
        <f>VLOOKUP(A15,[1]DBH_H!B:D,3,)</f>
        <v>11</v>
      </c>
      <c r="H15" s="11">
        <f>VLOOKUP(A15,[1]DBH_H!B:C,2,)</f>
        <v>12</v>
      </c>
      <c r="I15" s="6" t="e">
        <f>VLOOKUP(A15,'[1]root data'!B:J,9,)</f>
        <v>#N/A</v>
      </c>
      <c r="J15" s="6" t="e">
        <f>VLOOKUP(A15,'[1]root data'!B:K,10,)</f>
        <v>#N/A</v>
      </c>
      <c r="K15" s="6" t="e">
        <f>VLOOKUP(A15,'[1]root data'!B:L,11,)</f>
        <v>#N/A</v>
      </c>
      <c r="L15" s="6" t="e">
        <f>VLOOKUP(A15,'[1]root data'!B:M,12,)</f>
        <v>#N/A</v>
      </c>
      <c r="M15" s="6" t="e">
        <f>VLOOKUP(A15,'[1]root data'!B:Q,16,)</f>
        <v>#N/A</v>
      </c>
      <c r="N15" s="6" t="e">
        <f>VLOOKUP(A15,'[1]root data'!B:R,17,)</f>
        <v>#N/A</v>
      </c>
      <c r="O15" s="6" t="e">
        <f>VLOOKUP(A15,'[1]root data'!B:S,18,)</f>
        <v>#N/A</v>
      </c>
      <c r="P15" s="11">
        <f>VLOOKUP(A15,[1]leaf_photosynthesis!B:C,2,)</f>
        <v>5.476160052</v>
      </c>
      <c r="Q15" s="11">
        <f>VLOOKUP(A15,[1]leaf_photosynthesis!B:D,3,)</f>
        <v>24.8460372199768</v>
      </c>
      <c r="R15" s="11" t="e">
        <f>VLOOKUP(A15,[1]leaf_respiration!B:C,2,)</f>
        <v>#N/A</v>
      </c>
      <c r="S15" s="11" t="e">
        <f>VLOOKUP(A15,[1]leaf_respiration!B:D,3,)</f>
        <v>#N/A</v>
      </c>
      <c r="T15">
        <v>1.72</v>
      </c>
      <c r="U15">
        <v>50.11</v>
      </c>
      <c r="V15">
        <v>0.77</v>
      </c>
      <c r="Z15">
        <v>-30.254000000000001</v>
      </c>
    </row>
    <row r="16" spans="1:26">
      <c r="A16" s="11" t="s">
        <v>35</v>
      </c>
      <c r="B16" s="11" t="s">
        <v>36</v>
      </c>
      <c r="C16" s="11" t="s">
        <v>158</v>
      </c>
      <c r="D16" s="11" t="s">
        <v>197</v>
      </c>
      <c r="E16" s="11">
        <f>VLOOKUP(A16,[1]SLA!C:G,5,)</f>
        <v>71.7403445800431</v>
      </c>
      <c r="F16" s="11">
        <f>VLOOKUP(A16,[1]SLA!C:I,7,)</f>
        <v>9.99343</v>
      </c>
      <c r="G16" s="11">
        <f>VLOOKUP(A16,[1]DBH_H!B:D,3,)</f>
        <v>15</v>
      </c>
      <c r="H16" s="11">
        <f>VLOOKUP(A16,[1]DBH_H!B:C,2,)</f>
        <v>19.2</v>
      </c>
      <c r="I16" s="6">
        <f>VLOOKUP(A16,'[1]root data'!B:J,9,)</f>
        <v>0.29924242424242425</v>
      </c>
      <c r="J16" s="6">
        <f>VLOOKUP(A16,'[1]root data'!B:K,10,)</f>
        <v>65.136774818270894</v>
      </c>
      <c r="K16" s="6">
        <f>VLOOKUP(A16,'[1]root data'!B:L,11,)</f>
        <v>54.096176695292897</v>
      </c>
      <c r="L16" s="6">
        <f>VLOOKUP(A16,'[1]root data'!B:M,12,)</f>
        <v>0.36599999999999999</v>
      </c>
      <c r="M16" s="6">
        <f>VLOOKUP(A16,'[1]root data'!B:Q,16,)</f>
        <v>59.396329113924047</v>
      </c>
      <c r="N16" s="6">
        <f>VLOOKUP(A16,'[1]root data'!B:R,17,)</f>
        <v>674.56075949367084</v>
      </c>
      <c r="O16" s="6">
        <f>VLOOKUP(A16,'[1]root data'!B:S,18,)</f>
        <v>0.13424871699010979</v>
      </c>
      <c r="P16" s="11">
        <f>VLOOKUP(A16,[1]leaf_photosynthesis!B:C,2,)</f>
        <v>6.1158616209999996</v>
      </c>
      <c r="Q16" s="11">
        <f>VLOOKUP(A16,[1]leaf_photosynthesis!B:D,3,)</f>
        <v>26.136320964706201</v>
      </c>
      <c r="R16" s="11" t="e">
        <f>VLOOKUP(A16,[1]leaf_respiration!B:C,2,)</f>
        <v>#N/A</v>
      </c>
      <c r="S16" s="11" t="e">
        <f>VLOOKUP(A16,[1]leaf_respiration!B:D,3,)</f>
        <v>#N/A</v>
      </c>
      <c r="T16">
        <v>1.39</v>
      </c>
      <c r="U16">
        <v>48.17</v>
      </c>
      <c r="V16">
        <v>0.61</v>
      </c>
      <c r="W16">
        <v>1.1399999999999999</v>
      </c>
      <c r="X16">
        <v>49.52</v>
      </c>
      <c r="Y16">
        <v>0.72</v>
      </c>
      <c r="Z16">
        <v>-30.928000000000001</v>
      </c>
    </row>
    <row r="17" spans="1:26">
      <c r="A17" s="11" t="s">
        <v>37</v>
      </c>
      <c r="B17" s="11" t="s">
        <v>36</v>
      </c>
      <c r="C17" s="11" t="s">
        <v>158</v>
      </c>
      <c r="D17" s="11" t="s">
        <v>197</v>
      </c>
      <c r="E17" s="11">
        <f>VLOOKUP(A17,[1]SLA!C:G,5,)</f>
        <v>97.613510638297896</v>
      </c>
      <c r="F17" s="11">
        <f>VLOOKUP(A17,[1]SLA!C:I,7,)</f>
        <v>9.1756700000000002</v>
      </c>
      <c r="G17" s="11">
        <f>VLOOKUP(A17,[1]DBH_H!B:D,3,)</f>
        <v>14.2</v>
      </c>
      <c r="H17" s="11">
        <f>VLOOKUP(A17,[1]DBH_H!B:C,2,)</f>
        <v>25.5</v>
      </c>
      <c r="I17" s="6">
        <f>VLOOKUP(A17,'[1]root data'!B:J,9,)</f>
        <v>0.48823529411764705</v>
      </c>
      <c r="J17" s="6">
        <f>VLOOKUP(A17,'[1]root data'!B:K,10,)</f>
        <v>23.1491402520981</v>
      </c>
      <c r="K17" s="6">
        <f>VLOOKUP(A17,'[1]root data'!B:L,11,)</f>
        <v>17.864776978324301</v>
      </c>
      <c r="L17" s="6">
        <f>VLOOKUP(A17,'[1]root data'!B:M,12,)</f>
        <v>0.33500000000000002</v>
      </c>
      <c r="M17" s="6">
        <f>VLOOKUP(A17,'[1]root data'!B:Q,16,)</f>
        <v>43.046867469879516</v>
      </c>
      <c r="N17" s="6">
        <f>VLOOKUP(A17,'[1]root data'!B:R,17,)</f>
        <v>449.76626506024098</v>
      </c>
      <c r="O17" s="6">
        <f>VLOOKUP(A17,'[1]root data'!B:S,18,)</f>
        <v>0.229300770782109</v>
      </c>
      <c r="P17" s="11">
        <f>VLOOKUP(A17,[1]leaf_photosynthesis!B:C,2,)</f>
        <v>2.721143176</v>
      </c>
      <c r="Q17" s="11">
        <f>VLOOKUP(A17,[1]leaf_photosynthesis!B:D,3,)</f>
        <v>13.9418977643305</v>
      </c>
      <c r="R17" s="11">
        <f>VLOOKUP(A17,[1]leaf_respiration!B:C,2,)</f>
        <v>-0.70310067605436299</v>
      </c>
      <c r="S17" s="11">
        <f>VLOOKUP(A17,[1]leaf_respiration!B:D,3,)</f>
        <v>-0.26546976918052401</v>
      </c>
      <c r="T17">
        <v>1.38</v>
      </c>
      <c r="U17">
        <v>48.25</v>
      </c>
      <c r="V17">
        <v>0.56999999999999995</v>
      </c>
      <c r="W17">
        <v>1.01</v>
      </c>
      <c r="X17">
        <v>51.43</v>
      </c>
      <c r="Y17">
        <v>0.5</v>
      </c>
      <c r="Z17">
        <v>-30.689</v>
      </c>
    </row>
    <row r="18" spans="1:26">
      <c r="A18" s="11" t="s">
        <v>38</v>
      </c>
      <c r="B18" s="11" t="s">
        <v>36</v>
      </c>
      <c r="C18" s="11" t="s">
        <v>158</v>
      </c>
      <c r="D18" s="11" t="s">
        <v>197</v>
      </c>
      <c r="E18" s="11">
        <f>VLOOKUP(A18,[1]SLA!C:G,5,)</f>
        <v>95.435513078470805</v>
      </c>
      <c r="F18" s="11">
        <f>VLOOKUP(A18,[1]SLA!C:I,7,)</f>
        <v>9.4862900000000021</v>
      </c>
      <c r="G18" s="11">
        <f>VLOOKUP(A18,[1]DBH_H!B:D,3,)</f>
        <v>14.5</v>
      </c>
      <c r="H18" s="11">
        <f>VLOOKUP(A18,[1]DBH_H!B:C,2,)</f>
        <v>35.6</v>
      </c>
      <c r="I18" s="6">
        <f>VLOOKUP(A18,'[1]root data'!B:J,9,)</f>
        <v>0.40684410646387831</v>
      </c>
      <c r="J18" s="6">
        <f>VLOOKUP(A18,'[1]root data'!B:K,10,)</f>
        <v>20.2550133613951</v>
      </c>
      <c r="K18" s="6">
        <f>VLOOKUP(A18,'[1]root data'!B:L,11,)</f>
        <v>16.3371972048934</v>
      </c>
      <c r="L18" s="6">
        <f>VLOOKUP(A18,'[1]root data'!B:M,12,)</f>
        <v>0.44800000000000001</v>
      </c>
      <c r="M18" s="6">
        <f>VLOOKUP(A18,'[1]root data'!B:Q,16,)</f>
        <v>18.533504672897198</v>
      </c>
      <c r="N18" s="6">
        <f>VLOOKUP(A18,'[1]root data'!B:R,17,)</f>
        <v>260.13551401869159</v>
      </c>
      <c r="O18" s="6">
        <f>VLOOKUP(A18,'[1]root data'!B:S,18,)</f>
        <v>0.30652438587696051</v>
      </c>
      <c r="P18" s="11">
        <f>VLOOKUP(A18,[1]leaf_photosynthesis!B:C,2,)</f>
        <v>2.4510623310000001</v>
      </c>
      <c r="Q18" s="11">
        <f>VLOOKUP(A18,[1]leaf_photosynthesis!B:D,3,)</f>
        <v>14.4985192620157</v>
      </c>
      <c r="R18" s="11" t="e">
        <f>VLOOKUP(A18,[1]leaf_respiration!B:C,2,)</f>
        <v>#N/A</v>
      </c>
      <c r="S18" s="11" t="e">
        <f>VLOOKUP(A18,[1]leaf_respiration!B:D,3,)</f>
        <v>#N/A</v>
      </c>
      <c r="T18">
        <v>1.18</v>
      </c>
      <c r="U18">
        <v>48.82</v>
      </c>
      <c r="V18">
        <v>0.62</v>
      </c>
      <c r="W18">
        <v>1.01</v>
      </c>
      <c r="X18">
        <v>45.74</v>
      </c>
      <c r="Y18">
        <v>0.63</v>
      </c>
      <c r="Z18">
        <v>-30.152000000000001</v>
      </c>
    </row>
    <row r="19" spans="1:26">
      <c r="A19" s="11" t="s">
        <v>39</v>
      </c>
      <c r="B19" s="11" t="s">
        <v>40</v>
      </c>
      <c r="C19" s="11" t="s">
        <v>159</v>
      </c>
      <c r="D19" s="11" t="s">
        <v>198</v>
      </c>
      <c r="E19" s="11">
        <f>VLOOKUP(A19,[1]SLA!C:G,5,)</f>
        <v>66.217922657412004</v>
      </c>
      <c r="F19" s="11">
        <f>VLOOKUP(A19,[1]SLA!C:I,7,)</f>
        <v>26.712310000000002</v>
      </c>
      <c r="G19" s="11">
        <f>VLOOKUP(A19,[1]DBH_H!B:D,3,)</f>
        <v>13.5</v>
      </c>
      <c r="H19" s="11">
        <f>VLOOKUP(A19,[1]DBH_H!B:C,2,)</f>
        <v>22.2</v>
      </c>
      <c r="I19" s="6">
        <f>VLOOKUP(A19,'[1]root data'!B:J,9,)</f>
        <v>0.44192634560906519</v>
      </c>
      <c r="J19" s="6">
        <f>VLOOKUP(A19,'[1]root data'!B:K,10,)</f>
        <v>41.970544463800998</v>
      </c>
      <c r="K19" s="6">
        <f>VLOOKUP(A19,'[1]root data'!B:L,11,)</f>
        <v>32.739401675250299</v>
      </c>
      <c r="L19" s="6">
        <f>VLOOKUP(A19,'[1]root data'!B:M,12,)</f>
        <v>0.49399999999999999</v>
      </c>
      <c r="M19" s="6">
        <f>VLOOKUP(A19,'[1]root data'!B:Q,16,)</f>
        <v>15.521923076923077</v>
      </c>
      <c r="N19" s="6">
        <f>VLOOKUP(A19,'[1]root data'!B:R,17,)</f>
        <v>242.03782051282053</v>
      </c>
      <c r="O19" s="6">
        <f>VLOOKUP(A19,'[1]root data'!B:S,18,)</f>
        <v>0.30118155842149968</v>
      </c>
      <c r="P19" s="11">
        <f>VLOOKUP(A19,[1]leaf_photosynthesis!B:C,2,)</f>
        <v>5.5202889180000003</v>
      </c>
      <c r="Q19" s="11">
        <f>VLOOKUP(A19,[1]leaf_photosynthesis!B:D,3,)</f>
        <v>27.015156288644501</v>
      </c>
      <c r="R19" s="11">
        <f>VLOOKUP(A19,[1]leaf_respiration!B:C,2,)</f>
        <v>-0.33850000000000002</v>
      </c>
      <c r="S19" s="11">
        <f>VLOOKUP(A19,[1]leaf_respiration!B:D,3,)</f>
        <v>3.7225029581376502E-2</v>
      </c>
      <c r="T19">
        <v>1.03</v>
      </c>
      <c r="U19">
        <v>49.64</v>
      </c>
      <c r="V19">
        <v>0.51</v>
      </c>
      <c r="W19">
        <v>0.83</v>
      </c>
      <c r="X19">
        <v>50.22</v>
      </c>
      <c r="Y19">
        <v>0.38</v>
      </c>
      <c r="Z19">
        <v>-31.352</v>
      </c>
    </row>
    <row r="20" spans="1:26">
      <c r="A20" s="11" t="s">
        <v>41</v>
      </c>
      <c r="B20" s="11" t="s">
        <v>40</v>
      </c>
      <c r="C20" s="11" t="s">
        <v>159</v>
      </c>
      <c r="D20" s="11" t="s">
        <v>198</v>
      </c>
      <c r="E20" s="11">
        <f>VLOOKUP(A20,[1]SLA!C:G,5,)</f>
        <v>78.864076617275003</v>
      </c>
      <c r="F20" s="11">
        <f>VLOOKUP(A20,[1]SLA!C:I,7,)</f>
        <v>21.82169</v>
      </c>
      <c r="G20" s="11">
        <f>VLOOKUP(A20,[1]DBH_H!B:D,3,)</f>
        <v>12.5</v>
      </c>
      <c r="H20" s="11">
        <f>VLOOKUP(A20,[1]DBH_H!B:C,2,)</f>
        <v>20.350000000000001</v>
      </c>
      <c r="I20" s="6" t="e">
        <f>VLOOKUP(A20,'[1]root data'!B:J,9,)</f>
        <v>#N/A</v>
      </c>
      <c r="J20" s="6" t="e">
        <f>VLOOKUP(A20,'[1]root data'!B:K,10,)</f>
        <v>#N/A</v>
      </c>
      <c r="K20" s="6" t="e">
        <f>VLOOKUP(A20,'[1]root data'!B:L,11,)</f>
        <v>#N/A</v>
      </c>
      <c r="L20" s="6" t="e">
        <f>VLOOKUP(A20,'[1]root data'!B:M,12,)</f>
        <v>#N/A</v>
      </c>
      <c r="M20" s="6" t="e">
        <f>VLOOKUP(A20,'[1]root data'!B:Q,16,)</f>
        <v>#N/A</v>
      </c>
      <c r="N20" s="6" t="e">
        <f>VLOOKUP(A20,'[1]root data'!B:R,17,)</f>
        <v>#N/A</v>
      </c>
      <c r="O20" s="6" t="e">
        <f>VLOOKUP(A20,'[1]root data'!B:S,18,)</f>
        <v>#N/A</v>
      </c>
      <c r="P20" s="11">
        <f>VLOOKUP(A20,[1]leaf_photosynthesis!B:C,2,)</f>
        <v>3.352236897</v>
      </c>
      <c r="Q20" s="11">
        <f>VLOOKUP(A20,[1]leaf_photosynthesis!B:D,3,)</f>
        <v>18.780218146773599</v>
      </c>
      <c r="R20" s="11">
        <f>VLOOKUP(A20,[1]leaf_respiration!B:C,2,)</f>
        <v>-1.23479699880974</v>
      </c>
      <c r="S20" s="11">
        <f>VLOOKUP(A20,[1]leaf_respiration!B:D,3,)</f>
        <v>-0.25809101706267501</v>
      </c>
      <c r="T20">
        <v>1</v>
      </c>
      <c r="U20">
        <v>49.4</v>
      </c>
      <c r="V20">
        <v>0.5</v>
      </c>
      <c r="Z20">
        <v>-31.181999999999999</v>
      </c>
    </row>
    <row r="21" spans="1:26">
      <c r="A21" s="11" t="s">
        <v>42</v>
      </c>
      <c r="B21" s="11" t="s">
        <v>40</v>
      </c>
      <c r="C21" s="11" t="s">
        <v>159</v>
      </c>
      <c r="D21" s="11" t="s">
        <v>198</v>
      </c>
      <c r="E21" s="11">
        <f>VLOOKUP(A21,[1]SLA!C:G,5,)</f>
        <v>81.530416951469604</v>
      </c>
      <c r="F21" s="11">
        <f>VLOOKUP(A21,[1]SLA!C:I,7,)</f>
        <v>23.855799999999999</v>
      </c>
      <c r="G21" s="11">
        <f>VLOOKUP(A21,[1]DBH_H!B:D,3,)</f>
        <v>13.5</v>
      </c>
      <c r="H21" s="11">
        <f>VLOOKUP(A21,[1]DBH_H!B:C,2,)</f>
        <v>24.5</v>
      </c>
      <c r="I21" s="6" t="e">
        <f>VLOOKUP(A21,'[1]root data'!B:J,9,)</f>
        <v>#N/A</v>
      </c>
      <c r="J21" s="6" t="e">
        <f>VLOOKUP(A21,'[1]root data'!B:K,10,)</f>
        <v>#N/A</v>
      </c>
      <c r="K21" s="6" t="e">
        <f>VLOOKUP(A21,'[1]root data'!B:L,11,)</f>
        <v>#N/A</v>
      </c>
      <c r="L21" s="6" t="e">
        <f>VLOOKUP(A21,'[1]root data'!B:M,12,)</f>
        <v>#N/A</v>
      </c>
      <c r="M21" s="6" t="e">
        <f>VLOOKUP(A21,'[1]root data'!B:Q,16,)</f>
        <v>#N/A</v>
      </c>
      <c r="N21" s="6" t="e">
        <f>VLOOKUP(A21,'[1]root data'!B:R,17,)</f>
        <v>#N/A</v>
      </c>
      <c r="O21" s="6" t="e">
        <f>VLOOKUP(A21,'[1]root data'!B:S,18,)</f>
        <v>#N/A</v>
      </c>
      <c r="P21" s="11">
        <f>VLOOKUP(A21,[1]leaf_photosynthesis!B:C,2,)</f>
        <v>2.5840462259999999</v>
      </c>
      <c r="Q21" s="11">
        <f>VLOOKUP(A21,[1]leaf_photosynthesis!B:D,3,)</f>
        <v>16.340929654362</v>
      </c>
      <c r="R21" s="11" t="e">
        <f>VLOOKUP(A21,[1]leaf_respiration!B:C,2,)</f>
        <v>#N/A</v>
      </c>
      <c r="S21" s="11" t="e">
        <f>VLOOKUP(A21,[1]leaf_respiration!B:D,3,)</f>
        <v>#N/A</v>
      </c>
      <c r="T21">
        <v>0.99</v>
      </c>
      <c r="U21">
        <v>49.39</v>
      </c>
      <c r="V21">
        <v>0.63</v>
      </c>
      <c r="Z21">
        <v>-31.558</v>
      </c>
    </row>
    <row r="22" spans="1:26">
      <c r="A22" s="11" t="s">
        <v>43</v>
      </c>
      <c r="B22" s="11" t="s">
        <v>44</v>
      </c>
      <c r="C22" s="11" t="s">
        <v>160</v>
      </c>
      <c r="D22" s="11" t="s">
        <v>199</v>
      </c>
      <c r="E22" s="11">
        <f>VLOOKUP(A22,[1]SLA!C:G,5,)</f>
        <v>189.512067156348</v>
      </c>
      <c r="F22" s="11">
        <f>VLOOKUP(A22,[1]SLA!C:I,7,)</f>
        <v>18.060500000000001</v>
      </c>
      <c r="G22" s="11">
        <f>VLOOKUP(A22,[1]DBH_H!B:D,3,)</f>
        <v>6.5</v>
      </c>
      <c r="H22" s="11">
        <f>VLOOKUP(A22,[1]DBH_H!B:C,2,)</f>
        <v>7.5</v>
      </c>
      <c r="I22" s="6" t="e">
        <f>VLOOKUP(A22,'[1]root data'!B:J,9,)</f>
        <v>#N/A</v>
      </c>
      <c r="J22" s="6" t="e">
        <f>VLOOKUP(A22,'[1]root data'!B:K,10,)</f>
        <v>#N/A</v>
      </c>
      <c r="K22" s="6" t="e">
        <f>VLOOKUP(A22,'[1]root data'!B:L,11,)</f>
        <v>#N/A</v>
      </c>
      <c r="L22" s="6" t="e">
        <f>VLOOKUP(A22,'[1]root data'!B:M,12,)</f>
        <v>#N/A</v>
      </c>
      <c r="M22" s="6" t="e">
        <f>VLOOKUP(A22,'[1]root data'!B:Q,16,)</f>
        <v>#N/A</v>
      </c>
      <c r="N22" s="6" t="e">
        <f>VLOOKUP(A22,'[1]root data'!B:R,17,)</f>
        <v>#N/A</v>
      </c>
      <c r="O22" s="6" t="e">
        <f>VLOOKUP(A22,'[1]root data'!B:S,18,)</f>
        <v>#N/A</v>
      </c>
      <c r="P22" s="11">
        <f>VLOOKUP(A22,[1]leaf_photosynthesis!B:C,2,)</f>
        <v>0.48746028800000002</v>
      </c>
      <c r="Q22" s="11">
        <f>VLOOKUP(A22,[1]leaf_photosynthesis!B:D,3,)</f>
        <v>1.6880584477303699</v>
      </c>
      <c r="R22" s="11" t="e">
        <f>VLOOKUP(A22,[1]leaf_respiration!B:C,2,)</f>
        <v>#N/A</v>
      </c>
      <c r="S22" s="11" t="e">
        <f>VLOOKUP(A22,[1]leaf_respiration!B:D,3,)</f>
        <v>#N/A</v>
      </c>
      <c r="T22">
        <v>2.34</v>
      </c>
      <c r="U22">
        <v>48.04</v>
      </c>
      <c r="V22">
        <v>0.87</v>
      </c>
      <c r="Z22">
        <v>-30.385999999999999</v>
      </c>
    </row>
    <row r="23" spans="1:26">
      <c r="A23" s="11" t="s">
        <v>45</v>
      </c>
      <c r="B23" s="11" t="s">
        <v>44</v>
      </c>
      <c r="C23" s="11" t="s">
        <v>160</v>
      </c>
      <c r="D23" s="11" t="s">
        <v>199</v>
      </c>
      <c r="E23" s="11">
        <f>VLOOKUP(A23,[1]SLA!C:G,5,)</f>
        <v>153.19558591697299</v>
      </c>
      <c r="F23" s="11">
        <f>VLOOKUP(A23,[1]SLA!C:I,7,)</f>
        <v>29.153119999999998</v>
      </c>
      <c r="G23" s="11">
        <f>VLOOKUP(A23,[1]DBH_H!B:D,3,)</f>
        <v>7.8</v>
      </c>
      <c r="H23" s="11">
        <f>VLOOKUP(A23,[1]DBH_H!B:C,2,)</f>
        <v>9.35</v>
      </c>
      <c r="I23" s="6">
        <f>VLOOKUP(A23,'[1]root data'!B:J,9,)</f>
        <v>0.4681818181818182</v>
      </c>
      <c r="J23" s="6">
        <f>VLOOKUP(A23,'[1]root data'!B:K,10,)</f>
        <v>69.187345597083905</v>
      </c>
      <c r="K23" s="6">
        <f>VLOOKUP(A23,'[1]root data'!B:L,11,)</f>
        <v>54.116850758021897</v>
      </c>
      <c r="L23" s="6">
        <f>VLOOKUP(A23,'[1]root data'!B:M,12,)</f>
        <v>0.35199999999999998</v>
      </c>
      <c r="M23" s="6">
        <f>VLOOKUP(A23,'[1]root data'!B:Q,16,)</f>
        <v>29.250776699029128</v>
      </c>
      <c r="N23" s="6">
        <f>VLOOKUP(A23,'[1]root data'!B:R,17,)</f>
        <v>323.0009708737864</v>
      </c>
      <c r="O23" s="6">
        <f>VLOOKUP(A23,'[1]root data'!B:S,18,)</f>
        <v>0.29188392654726819</v>
      </c>
      <c r="P23" s="11">
        <f>VLOOKUP(A23,[1]leaf_photosynthesis!B:C,2,)</f>
        <v>7.9405001540000004</v>
      </c>
      <c r="Q23" s="11">
        <f>VLOOKUP(A23,[1]leaf_photosynthesis!B:D,3,)</f>
        <v>30.782702123418701</v>
      </c>
      <c r="R23" s="11">
        <f>VLOOKUP(A23,[1]leaf_respiration!B:C,2,)</f>
        <v>-1.3993821617358</v>
      </c>
      <c r="S23" s="11">
        <f>VLOOKUP(A23,[1]leaf_respiration!B:D,3,)</f>
        <v>-1.2780100743679099</v>
      </c>
      <c r="T23">
        <v>2.04</v>
      </c>
      <c r="U23">
        <v>47.6</v>
      </c>
      <c r="V23">
        <v>0.99</v>
      </c>
      <c r="W23">
        <v>0.73</v>
      </c>
      <c r="X23">
        <v>46.33</v>
      </c>
      <c r="Y23">
        <v>0.67</v>
      </c>
      <c r="Z23">
        <v>-30.402999999999999</v>
      </c>
    </row>
    <row r="24" spans="1:26">
      <c r="A24" s="11" t="s">
        <v>46</v>
      </c>
      <c r="B24" s="11" t="s">
        <v>44</v>
      </c>
      <c r="C24" s="11" t="s">
        <v>160</v>
      </c>
      <c r="D24" s="11" t="s">
        <v>199</v>
      </c>
      <c r="E24" s="11">
        <f>VLOOKUP(A24,[1]SLA!C:G,5,)</f>
        <v>157.63568977350701</v>
      </c>
      <c r="F24" s="11">
        <f>VLOOKUP(A24,[1]SLA!C:I,7,)</f>
        <v>22.96752</v>
      </c>
      <c r="G24" s="11">
        <f>VLOOKUP(A24,[1]DBH_H!B:D,3,)</f>
        <v>10.5</v>
      </c>
      <c r="H24" s="11">
        <f>VLOOKUP(A24,[1]DBH_H!B:C,2,)</f>
        <v>16</v>
      </c>
      <c r="I24" s="6" t="e">
        <f>VLOOKUP(A24,'[1]root data'!B:J,9,)</f>
        <v>#N/A</v>
      </c>
      <c r="J24" s="6" t="e">
        <f>VLOOKUP(A24,'[1]root data'!B:K,10,)</f>
        <v>#N/A</v>
      </c>
      <c r="K24" s="6" t="e">
        <f>VLOOKUP(A24,'[1]root data'!B:L,11,)</f>
        <v>#N/A</v>
      </c>
      <c r="L24" s="6" t="e">
        <f>VLOOKUP(A24,'[1]root data'!B:M,12,)</f>
        <v>#N/A</v>
      </c>
      <c r="M24" s="6" t="e">
        <f>VLOOKUP(A24,'[1]root data'!B:Q,16,)</f>
        <v>#N/A</v>
      </c>
      <c r="N24" s="6" t="e">
        <f>VLOOKUP(A24,'[1]root data'!B:R,17,)</f>
        <v>#N/A</v>
      </c>
      <c r="O24" s="6" t="e">
        <f>VLOOKUP(A24,'[1]root data'!B:S,18,)</f>
        <v>#N/A</v>
      </c>
      <c r="P24" s="11">
        <f>VLOOKUP(A24,[1]leaf_photosynthesis!B:C,2,)</f>
        <v>4.4373412119999998</v>
      </c>
      <c r="Q24" s="11">
        <f>VLOOKUP(A24,[1]leaf_photosynthesis!B:D,3,)</f>
        <v>23.942597953554799</v>
      </c>
      <c r="R24" s="11" t="e">
        <f>VLOOKUP(A24,[1]leaf_respiration!B:C,2,)</f>
        <v>#N/A</v>
      </c>
      <c r="S24" s="11" t="e">
        <f>VLOOKUP(A24,[1]leaf_respiration!B:D,3,)</f>
        <v>#N/A</v>
      </c>
      <c r="T24">
        <v>2.75</v>
      </c>
      <c r="U24">
        <v>48.28</v>
      </c>
      <c r="V24">
        <v>1.2</v>
      </c>
      <c r="Z24">
        <v>-29.23</v>
      </c>
    </row>
    <row r="25" spans="1:26">
      <c r="A25" s="11" t="s">
        <v>47</v>
      </c>
      <c r="B25" s="11" t="s">
        <v>48</v>
      </c>
      <c r="C25" s="11" t="s">
        <v>150</v>
      </c>
      <c r="D25" s="11" t="s">
        <v>200</v>
      </c>
      <c r="E25" s="11">
        <f>VLOOKUP(A25,[1]SLA!C:G,5,)</f>
        <v>100.097867298578</v>
      </c>
      <c r="F25" s="11">
        <f>VLOOKUP(A25,[1]SLA!C:I,7,)</f>
        <v>16.896519999999999</v>
      </c>
      <c r="G25" s="11">
        <f>VLOOKUP(A25,[1]DBH_H!B:D,3,)</f>
        <v>9.5</v>
      </c>
      <c r="H25" s="11">
        <f>VLOOKUP(A25,[1]DBH_H!B:C,2,)</f>
        <v>15.9</v>
      </c>
      <c r="I25" s="6">
        <f>VLOOKUP(A25,'[1]root data'!B:J,9,)</f>
        <v>0.41176470588235298</v>
      </c>
      <c r="J25" s="6">
        <f>VLOOKUP(A25,'[1]root data'!B:K,10,)</f>
        <v>11.652129524022801</v>
      </c>
      <c r="K25" s="6">
        <f>VLOOKUP(A25,'[1]root data'!B:L,11,)</f>
        <v>9.3449268975113995</v>
      </c>
      <c r="L25" s="6">
        <f>VLOOKUP(A25,'[1]root data'!B:M,12,)</f>
        <v>0.434</v>
      </c>
      <c r="M25" s="6">
        <f>VLOOKUP(A25,'[1]root data'!B:Q,16,)</f>
        <v>20.579485714285713</v>
      </c>
      <c r="N25" s="6">
        <f>VLOOKUP(A25,'[1]root data'!B:R,17,)</f>
        <v>280.97142857142853</v>
      </c>
      <c r="O25" s="6">
        <f>VLOOKUP(A25,'[1]root data'!B:S,18,)</f>
        <v>0.28906985579543765</v>
      </c>
      <c r="P25" s="11">
        <f>VLOOKUP(A25,[1]leaf_photosynthesis!B:C,2,)</f>
        <v>1.9971891349999999</v>
      </c>
      <c r="Q25" s="11">
        <f>VLOOKUP(A25,[1]leaf_photosynthesis!B:D,3,)</f>
        <v>13.198951809655901</v>
      </c>
      <c r="R25" s="11">
        <f>VLOOKUP(A25,[1]leaf_respiration!B:C,2,)</f>
        <v>-0.51394134690356197</v>
      </c>
      <c r="S25" s="11">
        <f>VLOOKUP(A25,[1]leaf_respiration!B:D,3,)</f>
        <v>8.1378006503578904E-2</v>
      </c>
      <c r="T25">
        <v>1.39</v>
      </c>
      <c r="U25">
        <v>50.11</v>
      </c>
      <c r="V25">
        <v>0.51</v>
      </c>
      <c r="W25">
        <v>0.9</v>
      </c>
      <c r="X25">
        <v>46.59</v>
      </c>
      <c r="Y25">
        <v>0.76</v>
      </c>
      <c r="Z25">
        <v>-30.7</v>
      </c>
    </row>
    <row r="26" spans="1:26">
      <c r="A26" s="11" t="s">
        <v>49</v>
      </c>
      <c r="B26" s="11" t="s">
        <v>48</v>
      </c>
      <c r="C26" s="11" t="s">
        <v>150</v>
      </c>
      <c r="D26" s="11" t="s">
        <v>200</v>
      </c>
      <c r="E26" s="11">
        <f>VLOOKUP(A26,[1]SLA!C:G,5,)</f>
        <v>104.925984251969</v>
      </c>
      <c r="F26" s="11">
        <f>VLOOKUP(A26,[1]SLA!C:I,7,)</f>
        <v>18.655840000000001</v>
      </c>
      <c r="G26" s="11">
        <f>VLOOKUP(A26,[1]DBH_H!B:D,3,)</f>
        <v>11</v>
      </c>
      <c r="H26" s="11">
        <f>VLOOKUP(A26,[1]DBH_H!B:C,2,)</f>
        <v>21.2</v>
      </c>
      <c r="I26" s="6" t="e">
        <f>VLOOKUP(A26,'[1]root data'!B:J,9,)</f>
        <v>#N/A</v>
      </c>
      <c r="J26" s="6" t="e">
        <f>VLOOKUP(A26,'[1]root data'!B:K,10,)</f>
        <v>#N/A</v>
      </c>
      <c r="K26" s="6" t="e">
        <f>VLOOKUP(A26,'[1]root data'!B:L,11,)</f>
        <v>#N/A</v>
      </c>
      <c r="L26" s="6" t="e">
        <f>VLOOKUP(A26,'[1]root data'!B:M,12,)</f>
        <v>#N/A</v>
      </c>
      <c r="M26" s="6" t="e">
        <f>VLOOKUP(A26,'[1]root data'!B:Q,16,)</f>
        <v>#N/A</v>
      </c>
      <c r="N26" s="6" t="e">
        <f>VLOOKUP(A26,'[1]root data'!B:R,17,)</f>
        <v>#N/A</v>
      </c>
      <c r="O26" s="6" t="e">
        <f>VLOOKUP(A26,'[1]root data'!B:S,18,)</f>
        <v>#N/A</v>
      </c>
      <c r="P26" s="11">
        <f>VLOOKUP(A26,[1]leaf_photosynthesis!B:C,2,)</f>
        <v>3.6187832759999998</v>
      </c>
      <c r="Q26" s="11">
        <f>VLOOKUP(A26,[1]leaf_photosynthesis!B:D,3,)</f>
        <v>23.4143597177613</v>
      </c>
      <c r="R26" s="11" t="e">
        <f>VLOOKUP(A26,[1]leaf_respiration!B:C,2,)</f>
        <v>#N/A</v>
      </c>
      <c r="S26" s="11" t="e">
        <f>VLOOKUP(A26,[1]leaf_respiration!B:D,3,)</f>
        <v>#N/A</v>
      </c>
      <c r="T26">
        <v>1.28</v>
      </c>
      <c r="U26">
        <v>48.62</v>
      </c>
      <c r="V26">
        <v>0.52</v>
      </c>
      <c r="Z26">
        <v>-30.774999999999999</v>
      </c>
    </row>
    <row r="27" spans="1:26">
      <c r="A27" s="11" t="s">
        <v>50</v>
      </c>
      <c r="B27" s="11" t="s">
        <v>48</v>
      </c>
      <c r="C27" s="11" t="s">
        <v>150</v>
      </c>
      <c r="D27" s="11" t="s">
        <v>200</v>
      </c>
      <c r="E27" s="11">
        <f>VLOOKUP(A27,[1]SLA!C:G,5,)</f>
        <v>117.344710743802</v>
      </c>
      <c r="F27" s="11">
        <f>VLOOKUP(A27,[1]SLA!C:I,7,)</f>
        <v>14.198709999999998</v>
      </c>
      <c r="G27" s="11">
        <f>VLOOKUP(A27,[1]DBH_H!B:D,3,)</f>
        <v>13.5</v>
      </c>
      <c r="H27" s="11">
        <f>VLOOKUP(A27,[1]DBH_H!B:C,2,)</f>
        <v>24.5</v>
      </c>
      <c r="I27" s="6" t="e">
        <f>VLOOKUP(A27,'[1]root data'!B:J,9,)</f>
        <v>#N/A</v>
      </c>
      <c r="J27" s="6" t="e">
        <f>VLOOKUP(A27,'[1]root data'!B:K,10,)</f>
        <v>#N/A</v>
      </c>
      <c r="K27" s="6" t="e">
        <f>VLOOKUP(A27,'[1]root data'!B:L,11,)</f>
        <v>#N/A</v>
      </c>
      <c r="L27" s="6" t="e">
        <f>VLOOKUP(A27,'[1]root data'!B:M,12,)</f>
        <v>#N/A</v>
      </c>
      <c r="M27" s="6" t="e">
        <f>VLOOKUP(A27,'[1]root data'!B:Q,16,)</f>
        <v>#N/A</v>
      </c>
      <c r="N27" s="6" t="e">
        <f>VLOOKUP(A27,'[1]root data'!B:R,17,)</f>
        <v>#N/A</v>
      </c>
      <c r="O27" s="6" t="e">
        <f>VLOOKUP(A27,'[1]root data'!B:S,18,)</f>
        <v>#N/A</v>
      </c>
      <c r="P27" s="11">
        <f>VLOOKUP(A27,[1]leaf_photosynthesis!B:C,2,)</f>
        <v>5.9432317049999996</v>
      </c>
      <c r="Q27" s="11">
        <f>VLOOKUP(A27,[1]leaf_photosynthesis!B:D,3,)</f>
        <v>25.357037949302001</v>
      </c>
      <c r="R27" s="11" t="e">
        <f>VLOOKUP(A27,[1]leaf_respiration!B:C,2,)</f>
        <v>#N/A</v>
      </c>
      <c r="S27" s="11" t="e">
        <f>VLOOKUP(A27,[1]leaf_respiration!B:D,3,)</f>
        <v>#N/A</v>
      </c>
      <c r="T27">
        <v>1.42</v>
      </c>
      <c r="U27">
        <v>48.24</v>
      </c>
      <c r="V27">
        <v>0.7</v>
      </c>
      <c r="Z27">
        <v>-31.931999999999999</v>
      </c>
    </row>
    <row r="28" spans="1:26">
      <c r="A28" s="11" t="s">
        <v>51</v>
      </c>
      <c r="B28" s="11" t="s">
        <v>52</v>
      </c>
      <c r="C28" s="11" t="s">
        <v>161</v>
      </c>
      <c r="D28" s="11" t="s">
        <v>201</v>
      </c>
      <c r="E28" s="11">
        <f>VLOOKUP(A28,[1]SLA!C:G,5,)</f>
        <v>94.584352685501401</v>
      </c>
      <c r="F28" s="11">
        <f>VLOOKUP(A28,[1]SLA!C:I,7,)</f>
        <v>30.465619999999998</v>
      </c>
      <c r="G28" s="11">
        <f>VLOOKUP(A28,[1]DBH_H!B:D,3,)</f>
        <v>8</v>
      </c>
      <c r="H28" s="11">
        <f>VLOOKUP(A28,[1]DBH_H!B:C,2,)</f>
        <v>11.7</v>
      </c>
      <c r="I28" s="6">
        <f>VLOOKUP(A28,'[1]root data'!B:J,9,)</f>
        <v>0.43561208267090623</v>
      </c>
      <c r="J28" s="6">
        <f>VLOOKUP(A28,'[1]root data'!B:K,10,)</f>
        <v>11.671774048795299</v>
      </c>
      <c r="K28" s="6">
        <f>VLOOKUP(A28,'[1]root data'!B:L,11,)</f>
        <v>8.8214725459628003</v>
      </c>
      <c r="L28" s="6">
        <f>VLOOKUP(A28,'[1]root data'!B:M,12,)</f>
        <v>0.51900000000000002</v>
      </c>
      <c r="M28" s="6">
        <f>VLOOKUP(A28,'[1]root data'!B:Q,16,)</f>
        <v>12.423138686131388</v>
      </c>
      <c r="N28" s="6">
        <f>VLOOKUP(A28,'[1]root data'!B:R,17,)</f>
        <v>202.31459854014599</v>
      </c>
      <c r="O28" s="6">
        <f>VLOOKUP(A28,'[1]root data'!B:S,18,)</f>
        <v>0.33256463163005218</v>
      </c>
      <c r="P28" s="11">
        <f>VLOOKUP(A28,[1]leaf_photosynthesis!B:C,2,)</f>
        <v>3.842043882</v>
      </c>
      <c r="Q28" s="11">
        <f>VLOOKUP(A28,[1]leaf_photosynthesis!B:D,3,)</f>
        <v>17.1053734871359</v>
      </c>
      <c r="R28" s="11">
        <f>VLOOKUP(A28,[1]leaf_respiration!B:C,2,)</f>
        <v>-1.09253297374227</v>
      </c>
      <c r="S28" s="11">
        <f>VLOOKUP(A28,[1]leaf_respiration!B:D,3,)</f>
        <v>-0.42569821267956998</v>
      </c>
      <c r="T28">
        <v>1.32</v>
      </c>
      <c r="U28">
        <v>51.55</v>
      </c>
      <c r="V28">
        <v>0.54</v>
      </c>
      <c r="W28">
        <v>0.66</v>
      </c>
      <c r="X28">
        <v>46.17</v>
      </c>
      <c r="Y28">
        <v>0.62</v>
      </c>
      <c r="Z28">
        <v>-32.869999999999997</v>
      </c>
    </row>
    <row r="29" spans="1:26">
      <c r="A29" s="11" t="s">
        <v>53</v>
      </c>
      <c r="B29" s="11" t="s">
        <v>52</v>
      </c>
      <c r="C29" s="11" t="s">
        <v>161</v>
      </c>
      <c r="D29" s="11" t="s">
        <v>201</v>
      </c>
      <c r="E29" s="11">
        <f>VLOOKUP(A29,[1]SLA!C:G,5,)</f>
        <v>78.010781194768498</v>
      </c>
      <c r="F29" s="11">
        <f>VLOOKUP(A29,[1]SLA!C:I,7,)</f>
        <v>22.06925</v>
      </c>
      <c r="G29" s="11">
        <f>VLOOKUP(A29,[1]DBH_H!B:D,3,)</f>
        <v>7.8</v>
      </c>
      <c r="H29" s="11">
        <f>VLOOKUP(A29,[1]DBH_H!B:C,2,)</f>
        <v>13.5</v>
      </c>
      <c r="I29" s="6" t="e">
        <f>VLOOKUP(A29,'[1]root data'!B:J,9,)</f>
        <v>#N/A</v>
      </c>
      <c r="J29" s="6" t="e">
        <f>VLOOKUP(A29,'[1]root data'!B:K,10,)</f>
        <v>#N/A</v>
      </c>
      <c r="K29" s="6" t="e">
        <f>VLOOKUP(A29,'[1]root data'!B:L,11,)</f>
        <v>#N/A</v>
      </c>
      <c r="L29" s="6" t="e">
        <f>VLOOKUP(A29,'[1]root data'!B:M,12,)</f>
        <v>#N/A</v>
      </c>
      <c r="M29" s="6" t="e">
        <f>VLOOKUP(A29,'[1]root data'!B:Q,16,)</f>
        <v>#N/A</v>
      </c>
      <c r="N29" s="6" t="e">
        <f>VLOOKUP(A29,'[1]root data'!B:R,17,)</f>
        <v>#N/A</v>
      </c>
      <c r="O29" s="6" t="e">
        <f>VLOOKUP(A29,'[1]root data'!B:S,18,)</f>
        <v>#N/A</v>
      </c>
      <c r="P29" s="11">
        <f>VLOOKUP(A29,[1]leaf_photosynthesis!B:C,2,)</f>
        <v>2.710231447</v>
      </c>
      <c r="Q29" s="11">
        <f>VLOOKUP(A29,[1]leaf_photosynthesis!B:D,3,)</f>
        <v>16.1386748206235</v>
      </c>
      <c r="R29" s="11" t="e">
        <f>VLOOKUP(A29,[1]leaf_respiration!B:C,2,)</f>
        <v>#N/A</v>
      </c>
      <c r="S29" s="11" t="e">
        <f>VLOOKUP(A29,[1]leaf_respiration!B:D,3,)</f>
        <v>#N/A</v>
      </c>
      <c r="T29">
        <v>1.45</v>
      </c>
      <c r="U29">
        <v>50.92</v>
      </c>
      <c r="V29">
        <v>0.6</v>
      </c>
      <c r="Z29">
        <v>-30.427</v>
      </c>
    </row>
    <row r="30" spans="1:26">
      <c r="A30" s="11" t="s">
        <v>54</v>
      </c>
      <c r="B30" s="11" t="s">
        <v>52</v>
      </c>
      <c r="C30" s="11" t="s">
        <v>161</v>
      </c>
      <c r="D30" s="11" t="s">
        <v>201</v>
      </c>
      <c r="E30" s="11">
        <f>VLOOKUP(A30,[1]SLA!C:G,5,)</f>
        <v>125.07271491675201</v>
      </c>
      <c r="F30" s="11">
        <f>VLOOKUP(A30,[1]SLA!C:I,7,)</f>
        <v>36.808900000000001</v>
      </c>
      <c r="G30" s="11">
        <f>VLOOKUP(A30,[1]DBH_H!B:D,3,)</f>
        <v>8.5</v>
      </c>
      <c r="H30" s="11">
        <f>VLOOKUP(A30,[1]DBH_H!B:C,2,)</f>
        <v>8.5</v>
      </c>
      <c r="I30" s="6" t="e">
        <f>VLOOKUP(A30,'[1]root data'!B:J,9,)</f>
        <v>#N/A</v>
      </c>
      <c r="J30" s="6" t="e">
        <f>VLOOKUP(A30,'[1]root data'!B:K,10,)</f>
        <v>#N/A</v>
      </c>
      <c r="K30" s="6" t="e">
        <f>VLOOKUP(A30,'[1]root data'!B:L,11,)</f>
        <v>#N/A</v>
      </c>
      <c r="L30" s="6" t="e">
        <f>VLOOKUP(A30,'[1]root data'!B:M,12,)</f>
        <v>#N/A</v>
      </c>
      <c r="M30" s="6" t="e">
        <f>VLOOKUP(A30,'[1]root data'!B:Q,16,)</f>
        <v>#N/A</v>
      </c>
      <c r="N30" s="6" t="e">
        <f>VLOOKUP(A30,'[1]root data'!B:R,17,)</f>
        <v>#N/A</v>
      </c>
      <c r="O30" s="6" t="e">
        <f>VLOOKUP(A30,'[1]root data'!B:S,18,)</f>
        <v>#N/A</v>
      </c>
      <c r="P30" s="11">
        <f>VLOOKUP(A30,[1]leaf_photosynthesis!B:C,2,)</f>
        <v>6.2213777920000002</v>
      </c>
      <c r="Q30" s="11">
        <f>VLOOKUP(A30,[1]leaf_photosynthesis!B:D,3,)</f>
        <v>24.204191142458502</v>
      </c>
      <c r="R30" s="11" t="e">
        <f>VLOOKUP(A30,[1]leaf_respiration!B:C,2,)</f>
        <v>#N/A</v>
      </c>
      <c r="S30" s="11" t="e">
        <f>VLOOKUP(A30,[1]leaf_respiration!B:D,3,)</f>
        <v>#N/A</v>
      </c>
      <c r="T30">
        <v>1.67</v>
      </c>
      <c r="U30">
        <v>49.56</v>
      </c>
      <c r="V30">
        <v>0.62</v>
      </c>
      <c r="Z30">
        <v>-32.811</v>
      </c>
    </row>
    <row r="31" spans="1:26">
      <c r="A31" s="11" t="s">
        <v>55</v>
      </c>
      <c r="B31" s="11" t="s">
        <v>56</v>
      </c>
      <c r="C31" s="11" t="s">
        <v>162</v>
      </c>
      <c r="D31" s="11" t="s">
        <v>202</v>
      </c>
      <c r="E31" s="11">
        <f>VLOOKUP(A31,[1]SLA!C:G,5,)</f>
        <v>134.81181434599199</v>
      </c>
      <c r="F31" s="11">
        <f>VLOOKUP(A31,[1]SLA!C:I,7,)</f>
        <v>6.3900800000000002</v>
      </c>
      <c r="G31" s="11">
        <f>VLOOKUP(A31,[1]DBH_H!B:D,3,)</f>
        <v>12</v>
      </c>
      <c r="H31" s="11">
        <f>VLOOKUP(A31,[1]DBH_H!B:C,2,)</f>
        <v>17</v>
      </c>
      <c r="I31" s="6" t="e">
        <f>VLOOKUP(A31,'[1]root data'!B:J,9,)</f>
        <v>#N/A</v>
      </c>
      <c r="J31" s="6" t="e">
        <f>VLOOKUP(A31,'[1]root data'!B:K,10,)</f>
        <v>#N/A</v>
      </c>
      <c r="K31" s="6" t="e">
        <f>VLOOKUP(A31,'[1]root data'!B:L,11,)</f>
        <v>#N/A</v>
      </c>
      <c r="L31" s="6" t="e">
        <f>VLOOKUP(A31,'[1]root data'!B:M,12,)</f>
        <v>#N/A</v>
      </c>
      <c r="M31" s="6" t="e">
        <f>VLOOKUP(A31,'[1]root data'!B:Q,16,)</f>
        <v>#N/A</v>
      </c>
      <c r="N31" s="6" t="e">
        <f>VLOOKUP(A31,'[1]root data'!B:R,17,)</f>
        <v>#N/A</v>
      </c>
      <c r="O31" s="6" t="e">
        <f>VLOOKUP(A31,'[1]root data'!B:S,18,)</f>
        <v>#N/A</v>
      </c>
      <c r="P31" s="11">
        <f>VLOOKUP(A31,[1]leaf_photosynthesis!B:C,2,)</f>
        <v>11.940987890000001</v>
      </c>
      <c r="Q31" s="11">
        <f>VLOOKUP(A31,[1]leaf_photosynthesis!B:D,3,)</f>
        <v>42.485605595236002</v>
      </c>
      <c r="R31" s="11" t="e">
        <f>VLOOKUP(A31,[1]leaf_respiration!B:C,2,)</f>
        <v>#N/A</v>
      </c>
      <c r="S31" s="11" t="e">
        <f>VLOOKUP(A31,[1]leaf_respiration!B:D,3,)</f>
        <v>#N/A</v>
      </c>
      <c r="T31">
        <v>1.41</v>
      </c>
      <c r="U31">
        <v>51.94</v>
      </c>
      <c r="V31">
        <v>0.61</v>
      </c>
      <c r="Z31">
        <v>-30.332999999999998</v>
      </c>
    </row>
    <row r="32" spans="1:26">
      <c r="A32" s="11" t="s">
        <v>57</v>
      </c>
      <c r="B32" s="11" t="s">
        <v>56</v>
      </c>
      <c r="C32" s="11" t="s">
        <v>162</v>
      </c>
      <c r="D32" s="11" t="s">
        <v>202</v>
      </c>
      <c r="E32" s="11">
        <f>VLOOKUP(A32,[1]SLA!C:G,5,)</f>
        <v>88.3673745173745</v>
      </c>
      <c r="F32" s="11">
        <f>VLOOKUP(A32,[1]SLA!C:I,7,)</f>
        <v>4.5774300000000006</v>
      </c>
      <c r="G32" s="11">
        <f>VLOOKUP(A32,[1]DBH_H!B:D,3,)</f>
        <v>12</v>
      </c>
      <c r="H32" s="11">
        <f>VLOOKUP(A32,[1]DBH_H!B:C,2,)</f>
        <v>13.5</v>
      </c>
      <c r="I32" s="6" t="e">
        <f>VLOOKUP(A32,'[1]root data'!B:J,9,)</f>
        <v>#N/A</v>
      </c>
      <c r="J32" s="6" t="e">
        <f>VLOOKUP(A32,'[1]root data'!B:K,10,)</f>
        <v>#N/A</v>
      </c>
      <c r="K32" s="6" t="e">
        <f>VLOOKUP(A32,'[1]root data'!B:L,11,)</f>
        <v>#N/A</v>
      </c>
      <c r="L32" s="6" t="e">
        <f>VLOOKUP(A32,'[1]root data'!B:M,12,)</f>
        <v>#N/A</v>
      </c>
      <c r="M32" s="6" t="e">
        <f>VLOOKUP(A32,'[1]root data'!B:Q,16,)</f>
        <v>#N/A</v>
      </c>
      <c r="N32" s="6" t="e">
        <f>VLOOKUP(A32,'[1]root data'!B:R,17,)</f>
        <v>#N/A</v>
      </c>
      <c r="O32" s="6" t="e">
        <f>VLOOKUP(A32,'[1]root data'!B:S,18,)</f>
        <v>#N/A</v>
      </c>
      <c r="P32" s="11">
        <f>VLOOKUP(A32,[1]leaf_photosynthesis!B:C,2,)</f>
        <v>4.3026017630000002</v>
      </c>
      <c r="Q32" s="11">
        <f>VLOOKUP(A32,[1]leaf_photosynthesis!B:D,3,)</f>
        <v>15.754504038262199</v>
      </c>
      <c r="R32" s="11" t="e">
        <f>VLOOKUP(A32,[1]leaf_respiration!B:C,2,)</f>
        <v>#N/A</v>
      </c>
      <c r="S32" s="11" t="e">
        <f>VLOOKUP(A32,[1]leaf_respiration!B:D,3,)</f>
        <v>#N/A</v>
      </c>
      <c r="T32">
        <v>2.13</v>
      </c>
      <c r="U32">
        <v>53.07</v>
      </c>
      <c r="V32">
        <v>0.56000000000000005</v>
      </c>
      <c r="Z32">
        <v>-29.297000000000001</v>
      </c>
    </row>
    <row r="33" spans="1:26">
      <c r="A33" s="11" t="s">
        <v>58</v>
      </c>
      <c r="B33" s="11" t="s">
        <v>56</v>
      </c>
      <c r="C33" s="11" t="s">
        <v>162</v>
      </c>
      <c r="D33" s="11" t="s">
        <v>202</v>
      </c>
      <c r="E33" s="11">
        <f>VLOOKUP(A33,[1]SLA!C:G,5,)</f>
        <v>114.722733612273</v>
      </c>
      <c r="F33" s="11">
        <f>VLOOKUP(A33,[1]SLA!C:I,7,)</f>
        <v>8.225620000000001</v>
      </c>
      <c r="G33" s="11">
        <f>VLOOKUP(A33,[1]DBH_H!B:D,3,)</f>
        <v>11.5</v>
      </c>
      <c r="H33" s="11">
        <f>VLOOKUP(A33,[1]DBH_H!B:C,2,)</f>
        <v>15</v>
      </c>
      <c r="I33" s="6">
        <f>VLOOKUP(A33,'[1]root data'!B:J,9,)</f>
        <v>0.40862422997946612</v>
      </c>
      <c r="J33" s="6">
        <f>VLOOKUP(A33,'[1]root data'!B:K,10,)</f>
        <v>8.7425761087569391</v>
      </c>
      <c r="K33" s="6">
        <f>VLOOKUP(A33,'[1]root data'!B:L,11,)</f>
        <v>7.4992361086660697</v>
      </c>
      <c r="L33" s="6">
        <f>VLOOKUP(A33,'[1]root data'!B:M,12,)</f>
        <v>0.503</v>
      </c>
      <c r="M33" s="6">
        <f>VLOOKUP(A33,'[1]root data'!B:Q,16,)</f>
        <v>17.565929648241209</v>
      </c>
      <c r="N33" s="6">
        <f>VLOOKUP(A33,'[1]root data'!B:R,17,)</f>
        <v>277.36934673366835</v>
      </c>
      <c r="O33" s="6">
        <f>VLOOKUP(A33,'[1]root data'!B:S,18,)</f>
        <v>0.25144994377124374</v>
      </c>
      <c r="P33" s="11">
        <f>VLOOKUP(A33,[1]leaf_photosynthesis!B:C,2,)</f>
        <v>5.4598033340000001</v>
      </c>
      <c r="Q33" s="11">
        <f>VLOOKUP(A33,[1]leaf_photosynthesis!B:D,3,)</f>
        <v>21.456093178417799</v>
      </c>
      <c r="R33" s="11">
        <f>VLOOKUP(A33,[1]leaf_respiration!B:C,2,)</f>
        <v>-1.1662485449307101</v>
      </c>
      <c r="S33" s="11">
        <f>VLOOKUP(A33,[1]leaf_respiration!B:D,3,)</f>
        <v>4.5706408071396303E-3</v>
      </c>
      <c r="T33">
        <v>1.55</v>
      </c>
      <c r="U33">
        <v>52.84</v>
      </c>
      <c r="V33">
        <v>0.72</v>
      </c>
      <c r="W33">
        <v>0.67</v>
      </c>
      <c r="X33">
        <v>46.27</v>
      </c>
      <c r="Y33">
        <v>0.32</v>
      </c>
      <c r="Z33">
        <v>-30.623999999999999</v>
      </c>
    </row>
    <row r="34" spans="1:26">
      <c r="A34" s="11" t="s">
        <v>59</v>
      </c>
      <c r="B34" s="11" t="s">
        <v>60</v>
      </c>
      <c r="C34" s="11" t="s">
        <v>163</v>
      </c>
      <c r="D34" s="11" t="s">
        <v>203</v>
      </c>
      <c r="E34" s="11">
        <f>VLOOKUP(A34,[1]SLA!C:G,5,)</f>
        <v>215.46818181818199</v>
      </c>
      <c r="F34" s="11">
        <f>VLOOKUP(A34,[1]SLA!C:I,7,)</f>
        <v>11.376720000000001</v>
      </c>
      <c r="G34" s="11">
        <f>VLOOKUP(A34,[1]DBH_H!B:D,3,)</f>
        <v>10.8</v>
      </c>
      <c r="H34" s="11">
        <f>VLOOKUP(A34,[1]DBH_H!B:C,2,)</f>
        <v>18.2</v>
      </c>
      <c r="I34" s="6">
        <f>VLOOKUP(A34,'[1]root data'!B:J,9,)</f>
        <v>0.30637079455977095</v>
      </c>
      <c r="J34" s="6">
        <f>VLOOKUP(A34,'[1]root data'!B:K,10,)</f>
        <v>4.0726152240484801</v>
      </c>
      <c r="K34" s="6">
        <f>VLOOKUP(A34,'[1]root data'!B:L,11,)</f>
        <v>3.6224433849383901</v>
      </c>
      <c r="L34" s="6">
        <f>VLOOKUP(A34,'[1]root data'!B:M,12,)</f>
        <v>0.68600000000000005</v>
      </c>
      <c r="M34" s="6">
        <f>VLOOKUP(A34,'[1]root data'!B:Q,16,)</f>
        <v>10.598808411214954</v>
      </c>
      <c r="N34" s="6">
        <f>VLOOKUP(A34,'[1]root data'!B:R,17,)</f>
        <v>229.25724299065422</v>
      </c>
      <c r="O34" s="6">
        <f>VLOOKUP(A34,'[1]root data'!B:S,18,)</f>
        <v>0.22563367213529584</v>
      </c>
      <c r="P34" s="11">
        <f>VLOOKUP(A34,[1]leaf_photosynthesis!B:C,2,)</f>
        <v>1.392024878</v>
      </c>
      <c r="Q34" s="11">
        <f>VLOOKUP(A34,[1]leaf_photosynthesis!B:D,3,)</f>
        <v>6.9298281000219202</v>
      </c>
      <c r="R34" s="11">
        <f>VLOOKUP(A34,[1]leaf_respiration!B:C,2,)</f>
        <v>-0.33972866123706202</v>
      </c>
      <c r="S34" s="11">
        <f>VLOOKUP(A34,[1]leaf_respiration!B:D,3,)</f>
        <v>-0.28419723015169202</v>
      </c>
      <c r="T34">
        <v>1.93</v>
      </c>
      <c r="U34">
        <v>51.88</v>
      </c>
      <c r="V34">
        <v>0.55000000000000004</v>
      </c>
      <c r="W34">
        <v>0.95</v>
      </c>
      <c r="X34">
        <v>47.7</v>
      </c>
      <c r="Y34">
        <v>0.53</v>
      </c>
      <c r="Z34">
        <v>-30.047249999999998</v>
      </c>
    </row>
    <row r="35" spans="1:26">
      <c r="A35" s="11" t="s">
        <v>61</v>
      </c>
      <c r="B35" s="11" t="s">
        <v>60</v>
      </c>
      <c r="C35" s="11" t="s">
        <v>163</v>
      </c>
      <c r="D35" s="11" t="s">
        <v>203</v>
      </c>
      <c r="E35" s="11">
        <f>VLOOKUP(A35,[1]SLA!C:G,5,)</f>
        <v>203.88190709046501</v>
      </c>
      <c r="F35" s="11">
        <f>VLOOKUP(A35,[1]SLA!C:I,7,)</f>
        <v>8.3387700000000002</v>
      </c>
      <c r="G35" s="11">
        <f>VLOOKUP(A35,[1]DBH_H!B:D,3,)</f>
        <v>11</v>
      </c>
      <c r="H35" s="11">
        <f>VLOOKUP(A35,[1]DBH_H!B:C,2,)</f>
        <v>15.7</v>
      </c>
      <c r="I35" s="6" t="e">
        <f>VLOOKUP(A35,'[1]root data'!B:J,9,)</f>
        <v>#N/A</v>
      </c>
      <c r="J35" s="6" t="e">
        <f>VLOOKUP(A35,'[1]root data'!B:K,10,)</f>
        <v>#N/A</v>
      </c>
      <c r="K35" s="6" t="e">
        <f>VLOOKUP(A35,'[1]root data'!B:L,11,)</f>
        <v>#N/A</v>
      </c>
      <c r="L35" s="6" t="e">
        <f>VLOOKUP(A35,'[1]root data'!B:M,12,)</f>
        <v>#N/A</v>
      </c>
      <c r="M35" s="6" t="e">
        <f>VLOOKUP(A35,'[1]root data'!B:Q,16,)</f>
        <v>#N/A</v>
      </c>
      <c r="N35" s="6" t="e">
        <f>VLOOKUP(A35,'[1]root data'!B:R,17,)</f>
        <v>#N/A</v>
      </c>
      <c r="O35" s="6" t="e">
        <f>VLOOKUP(A35,'[1]root data'!B:S,18,)</f>
        <v>#N/A</v>
      </c>
      <c r="P35" s="11">
        <f>VLOOKUP(A35,[1]leaf_photosynthesis!B:C,2,)</f>
        <v>2.6179425090000001</v>
      </c>
      <c r="Q35" s="11">
        <f>VLOOKUP(A35,[1]leaf_photosynthesis!B:D,3,)</f>
        <v>14.5390000543201</v>
      </c>
      <c r="R35" s="11" t="e">
        <f>VLOOKUP(A35,[1]leaf_respiration!B:C,2,)</f>
        <v>#N/A</v>
      </c>
      <c r="S35" s="11" t="e">
        <f>VLOOKUP(A35,[1]leaf_respiration!B:D,3,)</f>
        <v>#N/A</v>
      </c>
      <c r="T35">
        <v>1.41</v>
      </c>
      <c r="U35">
        <v>50.19</v>
      </c>
      <c r="V35">
        <v>0.6</v>
      </c>
      <c r="Z35">
        <v>-30.54325</v>
      </c>
    </row>
    <row r="36" spans="1:26">
      <c r="A36" s="11" t="s">
        <v>62</v>
      </c>
      <c r="B36" s="11" t="s">
        <v>60</v>
      </c>
      <c r="C36" s="11" t="s">
        <v>163</v>
      </c>
      <c r="D36" s="11" t="s">
        <v>203</v>
      </c>
      <c r="E36" s="11">
        <f>VLOOKUP(A36,[1]SLA!C:G,5,)</f>
        <v>234.96241134751801</v>
      </c>
      <c r="F36" s="11">
        <f>VLOOKUP(A36,[1]SLA!C:I,7,)</f>
        <v>9.9389099999999999</v>
      </c>
      <c r="G36" s="11">
        <f>VLOOKUP(A36,[1]DBH_H!B:D,3,)</f>
        <v>9</v>
      </c>
      <c r="H36" s="11">
        <f>VLOOKUP(A36,[1]DBH_H!B:C,2,)</f>
        <v>11.15</v>
      </c>
      <c r="I36" s="6" t="e">
        <f>VLOOKUP(A36,'[1]root data'!B:J,9,)</f>
        <v>#N/A</v>
      </c>
      <c r="J36" s="6" t="e">
        <f>VLOOKUP(A36,'[1]root data'!B:K,10,)</f>
        <v>#N/A</v>
      </c>
      <c r="K36" s="6" t="e">
        <f>VLOOKUP(A36,'[1]root data'!B:L,11,)</f>
        <v>#N/A</v>
      </c>
      <c r="L36" s="6" t="e">
        <f>VLOOKUP(A36,'[1]root data'!B:M,12,)</f>
        <v>#N/A</v>
      </c>
      <c r="M36" s="6" t="e">
        <f>VLOOKUP(A36,'[1]root data'!B:Q,16,)</f>
        <v>#N/A</v>
      </c>
      <c r="N36" s="6" t="e">
        <f>VLOOKUP(A36,'[1]root data'!B:R,17,)</f>
        <v>#N/A</v>
      </c>
      <c r="O36" s="6" t="e">
        <f>VLOOKUP(A36,'[1]root data'!B:S,18,)</f>
        <v>#N/A</v>
      </c>
      <c r="P36" s="11">
        <f>VLOOKUP(A36,[1]leaf_photosynthesis!B:C,2,)</f>
        <v>4.1940793530000002</v>
      </c>
      <c r="Q36" s="11">
        <f>VLOOKUP(A36,[1]leaf_photosynthesis!B:D,3,)</f>
        <v>20.404533954689999</v>
      </c>
      <c r="R36" s="11" t="e">
        <f>VLOOKUP(A36,[1]leaf_respiration!B:C,2,)</f>
        <v>#N/A</v>
      </c>
      <c r="S36" s="11" t="e">
        <f>VLOOKUP(A36,[1]leaf_respiration!B:D,3,)</f>
        <v>#N/A</v>
      </c>
      <c r="T36">
        <v>1.25</v>
      </c>
      <c r="U36">
        <v>49.94</v>
      </c>
      <c r="V36">
        <v>0.64</v>
      </c>
      <c r="Z36">
        <v>-29.38025</v>
      </c>
    </row>
    <row r="37" spans="1:26">
      <c r="A37" s="11" t="s">
        <v>63</v>
      </c>
      <c r="B37" s="11" t="s">
        <v>64</v>
      </c>
      <c r="C37" s="11" t="s">
        <v>164</v>
      </c>
      <c r="D37" s="11" t="s">
        <v>204</v>
      </c>
      <c r="E37" s="11">
        <f>VLOOKUP(A37,[1]SLA!C:G,5,)</f>
        <v>143.484518828452</v>
      </c>
      <c r="F37" s="11">
        <f>VLOOKUP(A37,[1]SLA!C:I,7,)</f>
        <v>3.4292799999999999</v>
      </c>
      <c r="G37" s="11">
        <f>VLOOKUP(A37,[1]DBH_H!B:D,3,)</f>
        <v>8</v>
      </c>
      <c r="H37" s="11">
        <f>VLOOKUP(A37,[1]DBH_H!B:C,2,)</f>
        <v>11.2</v>
      </c>
      <c r="I37" s="6">
        <f>VLOOKUP(A37,'[1]root data'!B:J,9,)</f>
        <v>0.22950819672131145</v>
      </c>
      <c r="J37" s="6">
        <f>VLOOKUP(A37,'[1]root data'!B:K,10,)</f>
        <v>11.301738595798801</v>
      </c>
      <c r="K37" s="6">
        <f>VLOOKUP(A37,'[1]root data'!B:L,11,)</f>
        <v>9.7674882303957506</v>
      </c>
      <c r="L37" s="6">
        <f>VLOOKUP(A37,'[1]root data'!B:M,12,)</f>
        <v>0.35799999999999998</v>
      </c>
      <c r="M37" s="6">
        <f>VLOOKUP(A37,'[1]root data'!B:Q,16,)</f>
        <v>71.420204081632662</v>
      </c>
      <c r="N37" s="6">
        <f>VLOOKUP(A37,'[1]root data'!B:R,17,)</f>
        <v>794.52091836734689</v>
      </c>
      <c r="O37" s="6">
        <f>VLOOKUP(A37,'[1]root data'!B:S,18,)</f>
        <v>0.11206724034420651</v>
      </c>
      <c r="P37" s="11">
        <f>VLOOKUP(A37,[1]leaf_photosynthesis!B:C,2,)</f>
        <v>3.6357743920000001</v>
      </c>
      <c r="Q37" s="11">
        <f>VLOOKUP(A37,[1]leaf_photosynthesis!B:D,3,)</f>
        <v>15.7956210527643</v>
      </c>
      <c r="R37" s="11">
        <f>VLOOKUP(A37,[1]leaf_respiration!B:C,2,)</f>
        <v>-0.40934346842584102</v>
      </c>
      <c r="S37" s="11">
        <f>VLOOKUP(A37,[1]leaf_respiration!B:D,3,)</f>
        <v>-0.12853296472481601</v>
      </c>
      <c r="T37">
        <v>1.26</v>
      </c>
      <c r="U37">
        <v>49.95</v>
      </c>
      <c r="V37">
        <v>0.43</v>
      </c>
      <c r="W37">
        <v>0.88</v>
      </c>
      <c r="X37">
        <v>46</v>
      </c>
      <c r="Y37">
        <v>0.48</v>
      </c>
      <c r="Z37">
        <v>-31.111249999999998</v>
      </c>
    </row>
    <row r="38" spans="1:26">
      <c r="A38" s="11" t="s">
        <v>65</v>
      </c>
      <c r="B38" s="11" t="s">
        <v>65</v>
      </c>
      <c r="C38" s="11" t="s">
        <v>165</v>
      </c>
      <c r="D38" s="11" t="s">
        <v>205</v>
      </c>
      <c r="E38" s="11">
        <f>VLOOKUP(A38,[1]SLA!C:G,5,)</f>
        <v>98.012069433143495</v>
      </c>
      <c r="F38" s="11">
        <f>VLOOKUP(A38,[1]SLA!C:I,7,)</f>
        <v>36.137050000000002</v>
      </c>
      <c r="G38" s="11">
        <f>VLOOKUP(A38,[1]DBH_H!B:D,3,)</f>
        <v>3.2</v>
      </c>
      <c r="H38" s="11">
        <f>VLOOKUP(A38,[1]DBH_H!B:C,2,)</f>
        <v>2.2999999999999998</v>
      </c>
      <c r="I38" s="6">
        <f>VLOOKUP(A38,'[1]root data'!B:J,9,)</f>
        <v>0.2929155313351498</v>
      </c>
      <c r="J38" s="6">
        <f>VLOOKUP(A38,'[1]root data'!B:K,10,)</f>
        <v>2.2456755906796202</v>
      </c>
      <c r="K38" s="6">
        <f>VLOOKUP(A38,'[1]root data'!B:L,11,)</f>
        <v>1.89336767947179</v>
      </c>
      <c r="L38" s="6">
        <f>VLOOKUP(A38,'[1]root data'!B:M,12,)</f>
        <v>0.72499999999999998</v>
      </c>
      <c r="M38" s="6">
        <f>VLOOKUP(A38,'[1]root data'!B:Q,16,)</f>
        <v>9.9905581395348833</v>
      </c>
      <c r="N38" s="6">
        <f>VLOOKUP(A38,'[1]root data'!B:R,17,)</f>
        <v>227.81627906976749</v>
      </c>
      <c r="O38" s="6">
        <f>VLOOKUP(A38,'[1]root data'!B:S,18,)</f>
        <v>0.2213767574997812</v>
      </c>
      <c r="P38" s="11">
        <f>VLOOKUP(A38,[1]leaf_photosynthesis!B:C,2,)</f>
        <v>2.9897065900000004</v>
      </c>
      <c r="Q38" s="11">
        <f>VLOOKUP(A38,[1]leaf_photosynthesis!B:D,3,)</f>
        <v>17.867784172941899</v>
      </c>
      <c r="R38" s="11">
        <f>VLOOKUP(A38,[1]leaf_respiration!B:C,2,)</f>
        <v>4.0438754845114097E-2</v>
      </c>
      <c r="S38" s="11">
        <f>VLOOKUP(A38,[1]leaf_respiration!B:D,3,)</f>
        <v>0.35738554099269898</v>
      </c>
      <c r="T38">
        <v>1.48</v>
      </c>
      <c r="U38">
        <v>50.81</v>
      </c>
      <c r="V38">
        <v>0.59</v>
      </c>
      <c r="W38">
        <v>0.79</v>
      </c>
      <c r="X38">
        <v>51.17</v>
      </c>
      <c r="Y38">
        <v>0.26</v>
      </c>
      <c r="Z38">
        <v>-29.78125</v>
      </c>
    </row>
    <row r="39" spans="1:26">
      <c r="A39" s="11" t="s">
        <v>66</v>
      </c>
      <c r="B39" s="11" t="s">
        <v>66</v>
      </c>
      <c r="C39" s="11" t="s">
        <v>166</v>
      </c>
      <c r="D39" s="11" t="s">
        <v>206</v>
      </c>
      <c r="E39" s="11">
        <f>VLOOKUP(A39,[1]SLA!C:G,5,)</f>
        <v>180.134598214286</v>
      </c>
      <c r="F39" s="11">
        <f>VLOOKUP(A39,[1]SLA!C:I,7,)</f>
        <v>8.0700299999999991</v>
      </c>
      <c r="G39" s="11">
        <f>VLOOKUP(A39,[1]DBH_H!B:D,3,)</f>
        <v>3.2</v>
      </c>
      <c r="H39" s="11">
        <f>VLOOKUP(A39,[1]DBH_H!B:C,2,)</f>
        <v>3.1</v>
      </c>
      <c r="I39" s="6">
        <f>VLOOKUP(A39,'[1]root data'!B:J,9,)</f>
        <v>0.39550949913644212</v>
      </c>
      <c r="J39" s="6">
        <f>VLOOKUP(A39,'[1]root data'!B:K,10,)</f>
        <v>14.236334925244501</v>
      </c>
      <c r="K39" s="6">
        <f>VLOOKUP(A39,'[1]root data'!B:L,11,)</f>
        <v>12.076529168599601</v>
      </c>
      <c r="L39" s="6">
        <f>VLOOKUP(A39,'[1]root data'!B:M,12,)</f>
        <v>0.41799999999999998</v>
      </c>
      <c r="M39" s="6">
        <f>VLOOKUP(A39,'[1]root data'!B:Q,16,)</f>
        <v>24.353231441048035</v>
      </c>
      <c r="N39" s="6">
        <f>VLOOKUP(A39,'[1]root data'!B:R,17,)</f>
        <v>317.55240174672491</v>
      </c>
      <c r="O39" s="6">
        <f>VLOOKUP(A39,'[1]root data'!B:S,18,)</f>
        <v>0.24403499611035925</v>
      </c>
      <c r="P39" s="11">
        <f>VLOOKUP(A39,[1]leaf_photosynthesis!B:C,2,)</f>
        <v>3.1333517773333335</v>
      </c>
      <c r="Q39" s="11">
        <f>VLOOKUP(A39,[1]leaf_photosynthesis!B:D,3,)</f>
        <v>15.6301730937573</v>
      </c>
      <c r="R39" s="11">
        <f>VLOOKUP(A39,[1]leaf_respiration!B:C,2,)</f>
        <v>-0.28094185589037501</v>
      </c>
      <c r="S39" s="11">
        <f>VLOOKUP(A39,[1]leaf_respiration!B:D,3,)</f>
        <v>-6.2717637337151105E-2</v>
      </c>
      <c r="T39">
        <v>1.47</v>
      </c>
      <c r="U39">
        <v>47.15</v>
      </c>
      <c r="V39">
        <v>0.48</v>
      </c>
      <c r="W39">
        <v>0.89</v>
      </c>
      <c r="X39">
        <v>47.81</v>
      </c>
      <c r="Y39">
        <v>0.3</v>
      </c>
      <c r="Z39">
        <v>-32.060250000000003</v>
      </c>
    </row>
    <row r="40" spans="1:26">
      <c r="A40" s="11" t="s">
        <v>67</v>
      </c>
      <c r="B40" s="11" t="s">
        <v>67</v>
      </c>
      <c r="C40" s="11" t="s">
        <v>167</v>
      </c>
      <c r="D40" s="11" t="s">
        <v>207</v>
      </c>
      <c r="E40" s="11">
        <f>VLOOKUP(A40,[1]SLA!C:G,5,)</f>
        <v>145.63297491039401</v>
      </c>
      <c r="F40" s="11">
        <f>VLOOKUP(A40,[1]SLA!C:I,7,)</f>
        <v>16.25264</v>
      </c>
      <c r="G40" s="11">
        <f>VLOOKUP(A40,[1]DBH_H!B:D,3,)</f>
        <v>3.6</v>
      </c>
      <c r="H40" s="11">
        <f>VLOOKUP(A40,[1]DBH_H!B:C,2,)</f>
        <v>4</v>
      </c>
      <c r="I40" s="6">
        <f>VLOOKUP(A40,'[1]root data'!B:J,9,)</f>
        <v>0.36593059936908517</v>
      </c>
      <c r="J40" s="6">
        <f>VLOOKUP(A40,'[1]root data'!B:K,10,)</f>
        <v>5.54504871836573</v>
      </c>
      <c r="K40" s="6">
        <f>VLOOKUP(A40,'[1]root data'!B:L,11,)</f>
        <v>4.6051702143622197</v>
      </c>
      <c r="L40" s="6">
        <f>VLOOKUP(A40,'[1]root data'!B:M,12,)</f>
        <v>0.46800000000000003</v>
      </c>
      <c r="M40" s="6">
        <f>VLOOKUP(A40,'[1]root data'!B:Q,16,)</f>
        <v>20.878577586206898</v>
      </c>
      <c r="N40" s="6">
        <f>VLOOKUP(A40,'[1]root data'!B:R,17,)</f>
        <v>306.66681034482764</v>
      </c>
      <c r="O40" s="6">
        <f>VLOOKUP(A40,'[1]root data'!B:S,18,)</f>
        <v>0.21799184409824665</v>
      </c>
      <c r="P40" s="11">
        <f>VLOOKUP(A40,[1]leaf_photosynthesis!B:C,2,)</f>
        <v>2.4417691239999999</v>
      </c>
      <c r="Q40" s="11">
        <f>VLOOKUP(A40,[1]leaf_photosynthesis!B:D,3,)</f>
        <v>12.592415972320467</v>
      </c>
      <c r="R40" s="11" t="e">
        <f>VLOOKUP(A40,[1]leaf_respiration!B:C,2,)</f>
        <v>#N/A</v>
      </c>
      <c r="S40" s="11" t="e">
        <f>VLOOKUP(A40,[1]leaf_respiration!B:D,3,)</f>
        <v>#N/A</v>
      </c>
      <c r="T40">
        <v>1</v>
      </c>
      <c r="U40">
        <v>46.75</v>
      </c>
      <c r="V40">
        <v>0.46</v>
      </c>
      <c r="W40">
        <v>0.93</v>
      </c>
      <c r="X40">
        <v>51.39</v>
      </c>
      <c r="Y40">
        <v>0.53</v>
      </c>
      <c r="Z40">
        <v>-31.407250000000001</v>
      </c>
    </row>
    <row r="41" spans="1:26">
      <c r="A41" s="11" t="s">
        <v>68</v>
      </c>
      <c r="B41" s="11" t="s">
        <v>68</v>
      </c>
      <c r="C41" s="11" t="s">
        <v>168</v>
      </c>
      <c r="D41" s="11" t="s">
        <v>208</v>
      </c>
      <c r="E41" s="11">
        <f>VLOOKUP(A41,[1]SLA!C:G,5,)</f>
        <v>351.08125000000001</v>
      </c>
      <c r="F41" s="11">
        <f>VLOOKUP(A41,[1]SLA!C:I,7,)</f>
        <v>7.3024900000000006</v>
      </c>
      <c r="G41" s="11">
        <f>VLOOKUP(A41,[1]DBH_H!B:D,3,)</f>
        <v>3.3</v>
      </c>
      <c r="H41" s="11">
        <f>VLOOKUP(A41,[1]DBH_H!B:C,2,)</f>
        <v>2.5</v>
      </c>
      <c r="I41" s="6">
        <f>VLOOKUP(A41,'[1]root data'!B:J,9,)</f>
        <v>0.41909385113268605</v>
      </c>
      <c r="J41" s="6">
        <f>VLOOKUP(A41,'[1]root data'!B:K,10,)</f>
        <v>7.48155977022512</v>
      </c>
      <c r="K41" s="6">
        <f>VLOOKUP(A41,'[1]root data'!B:L,11,)</f>
        <v>6.7201082662225602</v>
      </c>
      <c r="L41" s="6">
        <f>VLOOKUP(A41,'[1]root data'!B:M,12,)</f>
        <v>0.254</v>
      </c>
      <c r="M41" s="6">
        <f>VLOOKUP(A41,'[1]root data'!B:Q,16,)</f>
        <v>51.508146718146719</v>
      </c>
      <c r="N41" s="6">
        <f>VLOOKUP(A41,'[1]root data'!B:R,17,)</f>
        <v>407.78841698841705</v>
      </c>
      <c r="O41" s="6">
        <f>VLOOKUP(A41,'[1]root data'!B:S,18,)</f>
        <v>0.29105047871623141</v>
      </c>
      <c r="P41" s="11">
        <f>VLOOKUP(A41,[1]leaf_photosynthesis!B:C,2,)</f>
        <v>2.917402072666667</v>
      </c>
      <c r="Q41" s="11">
        <f>VLOOKUP(A41,[1]leaf_photosynthesis!B:D,3,)</f>
        <v>12.800500515224465</v>
      </c>
      <c r="R41" s="11">
        <f>VLOOKUP(A41,[1]leaf_respiration!B:C,2,)</f>
        <v>6.7528041707849401E-2</v>
      </c>
      <c r="S41" s="11">
        <f>VLOOKUP(A41,[1]leaf_respiration!B:D,3,)</f>
        <v>0.99343996886943298</v>
      </c>
      <c r="T41">
        <v>1.9</v>
      </c>
      <c r="U41">
        <v>47.55</v>
      </c>
      <c r="V41">
        <v>0.83</v>
      </c>
      <c r="W41">
        <v>0.85</v>
      </c>
      <c r="X41">
        <v>48.12</v>
      </c>
      <c r="Y41">
        <v>0.43</v>
      </c>
      <c r="Z41">
        <v>-31.061250000000001</v>
      </c>
    </row>
    <row r="42" spans="1:26">
      <c r="A42" s="11" t="s">
        <v>69</v>
      </c>
      <c r="B42" s="11" t="s">
        <v>69</v>
      </c>
      <c r="C42" s="11" t="s">
        <v>169</v>
      </c>
      <c r="D42" s="11" t="s">
        <v>209</v>
      </c>
      <c r="E42" s="11">
        <f>VLOOKUP(A42,[1]SLA!C:G,5,)</f>
        <v>114.43884892086299</v>
      </c>
      <c r="F42" s="11">
        <f>VLOOKUP(A42,[1]SLA!C:I,7,)</f>
        <v>11.1349</v>
      </c>
      <c r="G42" s="11">
        <f>VLOOKUP(A42,[1]DBH_H!B:D,3,)</f>
        <v>6</v>
      </c>
      <c r="H42" s="11">
        <f>VLOOKUP(A42,[1]DBH_H!B:C,2,)</f>
        <v>5.7</v>
      </c>
      <c r="I42" s="6">
        <f>VLOOKUP(A42,'[1]root data'!B:J,9,)</f>
        <v>0.33552631578947373</v>
      </c>
      <c r="J42" s="6">
        <f>VLOOKUP(A42,'[1]root data'!B:K,10,)</f>
        <v>20.077941544662</v>
      </c>
      <c r="K42" s="6">
        <f>VLOOKUP(A42,'[1]root data'!B:L,11,)</f>
        <v>17.407003212628201</v>
      </c>
      <c r="L42" s="6">
        <f>VLOOKUP(A42,'[1]root data'!B:M,12,)</f>
        <v>0.224</v>
      </c>
      <c r="M42" s="6">
        <f>VLOOKUP(A42,'[1]root data'!B:Q,16,)</f>
        <v>98.75245098039214</v>
      </c>
      <c r="N42" s="6">
        <f>VLOOKUP(A42,'[1]root data'!B:R,17,)</f>
        <v>682.4764705882352</v>
      </c>
      <c r="O42" s="6">
        <f>VLOOKUP(A42,'[1]root data'!B:S,18,)</f>
        <v>0.18763796909492275</v>
      </c>
      <c r="P42" s="11">
        <f>VLOOKUP(A42,[1]leaf_photosynthesis!B:C,2,)</f>
        <v>6.2836634163333338</v>
      </c>
      <c r="Q42" s="11">
        <f>VLOOKUP(A42,[1]leaf_photosynthesis!B:D,3,)</f>
        <v>22.593165121217268</v>
      </c>
      <c r="R42" s="11">
        <f>VLOOKUP(A42,[1]leaf_respiration!B:C,2,)</f>
        <v>-0.36547832732020602</v>
      </c>
      <c r="S42" s="11">
        <f>VLOOKUP(A42,[1]leaf_respiration!B:D,3,)</f>
        <v>0.14920173103944701</v>
      </c>
      <c r="T42">
        <v>1.89</v>
      </c>
      <c r="U42">
        <v>46.45</v>
      </c>
      <c r="V42">
        <v>0.41</v>
      </c>
      <c r="W42">
        <v>0.95</v>
      </c>
      <c r="X42">
        <v>47.4</v>
      </c>
      <c r="Y42">
        <v>0.28000000000000003</v>
      </c>
      <c r="Z42">
        <v>-32.607250000000001</v>
      </c>
    </row>
    <row r="43" spans="1:26">
      <c r="A43" s="11" t="s">
        <v>70</v>
      </c>
      <c r="B43" s="11" t="s">
        <v>70</v>
      </c>
      <c r="C43" s="11" t="s">
        <v>151</v>
      </c>
      <c r="D43" s="11" t="s">
        <v>152</v>
      </c>
      <c r="E43" s="11">
        <f>VLOOKUP(A43,[1]SLA!C:G,5,)</f>
        <v>148.40883940620799</v>
      </c>
      <c r="F43" s="11">
        <f>VLOOKUP(A43,[1]SLA!C:I,7,)</f>
        <v>21.99419</v>
      </c>
      <c r="G43" s="11">
        <f>VLOOKUP(A43,[1]DBH_H!B:D,3,)</f>
        <v>1.8</v>
      </c>
      <c r="H43" s="11">
        <f>VLOOKUP(A43,[1]DBH_H!B:C,2,)</f>
        <v>1.2</v>
      </c>
      <c r="I43" s="6">
        <f>VLOOKUP(A43,'[1]root data'!B:J,9,)</f>
        <v>0.42265795206971674</v>
      </c>
      <c r="J43" s="6">
        <f>VLOOKUP(A43,'[1]root data'!B:K,10,)</f>
        <v>20.1199678388057</v>
      </c>
      <c r="K43" s="6">
        <f>VLOOKUP(A43,'[1]root data'!B:L,11,)</f>
        <v>17.0675514275631</v>
      </c>
      <c r="L43" s="6">
        <f>VLOOKUP(A43,'[1]root data'!B:M,12,)</f>
        <v>0.24299999999999999</v>
      </c>
      <c r="M43" s="6">
        <f>VLOOKUP(A43,'[1]root data'!B:Q,16,)</f>
        <v>47.823092783505153</v>
      </c>
      <c r="N43" s="6">
        <f>VLOOKUP(A43,'[1]root data'!B:R,17,)</f>
        <v>365.78659793814433</v>
      </c>
      <c r="O43" s="6">
        <f>VLOOKUP(A43,'[1]root data'!B:S,18,)</f>
        <v>0.3073754258100293</v>
      </c>
      <c r="P43" s="11">
        <f>VLOOKUP(A43,[1]leaf_photosynthesis!B:C,2,)</f>
        <v>4.429070894333333</v>
      </c>
      <c r="Q43" s="11">
        <f>VLOOKUP(A43,[1]leaf_photosynthesis!B:D,3,)</f>
        <v>18.076000474152867</v>
      </c>
      <c r="R43" s="11">
        <f>VLOOKUP(A43,[1]leaf_respiration!B:C,2,)</f>
        <v>-0.16349872084872699</v>
      </c>
      <c r="S43" s="11">
        <f>VLOOKUP(A43,[1]leaf_respiration!B:D,3,)</f>
        <v>0.28112653355884798</v>
      </c>
      <c r="T43">
        <v>1.94</v>
      </c>
      <c r="U43">
        <v>48.39</v>
      </c>
      <c r="V43">
        <v>0.63</v>
      </c>
      <c r="W43">
        <v>1.33</v>
      </c>
      <c r="X43">
        <v>46.34</v>
      </c>
      <c r="Y43">
        <v>0.71</v>
      </c>
      <c r="Z43">
        <v>-32.08625</v>
      </c>
    </row>
    <row r="44" spans="1:26">
      <c r="A44" s="11" t="s">
        <v>71</v>
      </c>
      <c r="B44" s="11" t="s">
        <v>71</v>
      </c>
      <c r="C44" s="11" t="s">
        <v>170</v>
      </c>
      <c r="D44" s="11" t="s">
        <v>210</v>
      </c>
      <c r="E44" s="11">
        <f>VLOOKUP(A44,[1]SLA!C:G,5,)</f>
        <v>252.73989169675099</v>
      </c>
      <c r="F44" s="11"/>
      <c r="G44" s="11">
        <f>VLOOKUP(A44,[1]DBH_H!B:D,3,)</f>
        <v>2.5499999999999998</v>
      </c>
      <c r="H44" s="11">
        <f>VLOOKUP(A44,[1]DBH_H!B:C,2,)</f>
        <v>3.55</v>
      </c>
      <c r="I44" s="6">
        <f>VLOOKUP(A44,'[1]root data'!B:J,9,)</f>
        <v>0.33892617449664431</v>
      </c>
      <c r="J44" s="6">
        <f>VLOOKUP(A44,'[1]root data'!B:K,10,)</f>
        <v>27.613137677508899</v>
      </c>
      <c r="K44" s="6">
        <f>VLOOKUP(A44,'[1]root data'!B:L,11,)</f>
        <v>24.560883465404</v>
      </c>
      <c r="L44" s="6">
        <f>VLOOKUP(A44,'[1]root data'!B:M,12,)</f>
        <v>0.224</v>
      </c>
      <c r="M44" s="6">
        <f>VLOOKUP(A44,'[1]root data'!B:Q,16,)</f>
        <v>85.862376237623764</v>
      </c>
      <c r="N44" s="6">
        <f>VLOOKUP(A44,'[1]root data'!B:R,17,)</f>
        <v>600.92376237623762</v>
      </c>
      <c r="O44" s="6">
        <f>VLOOKUP(A44,'[1]root data'!B:S,18,)</f>
        <v>0.22593056549749463</v>
      </c>
      <c r="P44" s="11">
        <f>VLOOKUP(A44,[1]leaf_photosynthesis!B:C,2,)</f>
        <v>4.4390019463333337</v>
      </c>
      <c r="Q44" s="11">
        <f>VLOOKUP(A44,[1]leaf_photosynthesis!B:D,3,)</f>
        <v>16.347178093970232</v>
      </c>
      <c r="R44" s="11">
        <f>VLOOKUP(A44,[1]leaf_respiration!B:C,2,)</f>
        <v>-0.362287078746307</v>
      </c>
      <c r="S44" s="11">
        <f>VLOOKUP(A44,[1]leaf_respiration!B:D,3,)</f>
        <v>-3.3324621320938899E-2</v>
      </c>
      <c r="T44">
        <v>2.02</v>
      </c>
      <c r="U44">
        <v>49.82</v>
      </c>
      <c r="V44">
        <v>0.83</v>
      </c>
      <c r="W44">
        <v>0.6</v>
      </c>
      <c r="X44">
        <v>48.39</v>
      </c>
      <c r="Y44">
        <v>0.47</v>
      </c>
      <c r="Z44">
        <v>-32.419249999999998</v>
      </c>
    </row>
    <row r="45" spans="1:26">
      <c r="A45" s="11" t="s">
        <v>72</v>
      </c>
      <c r="B45" s="11" t="s">
        <v>72</v>
      </c>
      <c r="C45" s="11" t="s">
        <v>171</v>
      </c>
      <c r="D45" s="11" t="s">
        <v>211</v>
      </c>
      <c r="E45" s="11">
        <f>VLOOKUP(A45,[1]SLA!C:G,5,)</f>
        <v>90.021959095801904</v>
      </c>
      <c r="F45" s="11">
        <v>1397.9510027987101</v>
      </c>
      <c r="G45" s="11">
        <f>VLOOKUP(A45,[1]DBH_H!B:D,3,)</f>
        <v>6</v>
      </c>
      <c r="H45" s="11">
        <f>VLOOKUP(A45,[1]DBH_H!B:C,2,)</f>
        <v>4.0999999999999996</v>
      </c>
      <c r="I45" s="6">
        <f>VLOOKUP(A45,'[1]root data'!B:J,9,)</f>
        <v>0.33333333333333331</v>
      </c>
      <c r="J45" s="6">
        <f>VLOOKUP(A45,'[1]root data'!B:K,10,)</f>
        <v>4.91657554732521</v>
      </c>
      <c r="K45" s="6">
        <f>VLOOKUP(A45,'[1]root data'!B:L,11,)</f>
        <v>4.2491332979690402</v>
      </c>
      <c r="L45" s="6">
        <f>VLOOKUP(A45,'[1]root data'!B:M,12,)</f>
        <v>0.34499999999999997</v>
      </c>
      <c r="M45" s="6">
        <f>VLOOKUP(A45,'[1]root data'!B:Q,16,)</f>
        <v>38.043389830508474</v>
      </c>
      <c r="N45" s="6">
        <f>VLOOKUP(A45,'[1]root data'!B:R,17,)</f>
        <v>410.60720338983049</v>
      </c>
      <c r="O45" s="6">
        <f>VLOOKUP(A45,'[1]root data'!B:S,18,)</f>
        <v>0.22956751814167037</v>
      </c>
      <c r="P45" s="11">
        <f>VLOOKUP(A45,[1]leaf_photosynthesis!B:C,2,)</f>
        <v>4.2655583760000004</v>
      </c>
      <c r="Q45" s="11">
        <f>VLOOKUP(A45,[1]leaf_photosynthesis!B:D,3,)</f>
        <v>17.964969220296634</v>
      </c>
      <c r="R45" s="11">
        <f>VLOOKUP(A45,[1]leaf_respiration!B:C,2,)</f>
        <v>-0.51916340393136595</v>
      </c>
      <c r="S45" s="11">
        <f>VLOOKUP(A45,[1]leaf_respiration!B:D,3,)</f>
        <v>-8.0394572270315896E-3</v>
      </c>
      <c r="T45">
        <v>1.31</v>
      </c>
      <c r="U45">
        <v>51.46</v>
      </c>
      <c r="V45">
        <v>0.62</v>
      </c>
      <c r="W45">
        <v>1.17</v>
      </c>
      <c r="X45">
        <v>49.46</v>
      </c>
      <c r="Y45">
        <v>0.43</v>
      </c>
      <c r="Z45">
        <v>-31.567250000000001</v>
      </c>
    </row>
    <row r="46" spans="1:26">
      <c r="A46" s="11" t="s">
        <v>73</v>
      </c>
      <c r="B46" s="11" t="s">
        <v>73</v>
      </c>
      <c r="C46" s="11" t="s">
        <v>172</v>
      </c>
      <c r="D46" s="11" t="s">
        <v>212</v>
      </c>
      <c r="E46" s="11">
        <f>VLOOKUP(A46,[1]SLA!C:G,5,)</f>
        <v>136.401781737194</v>
      </c>
      <c r="F46" s="11">
        <v>866.69692115812995</v>
      </c>
      <c r="G46" s="11">
        <f>VLOOKUP(A46,[1]DBH_H!B:D,3,)</f>
        <v>3.5</v>
      </c>
      <c r="H46" s="11">
        <f>VLOOKUP(A46,[1]DBH_H!B:C,2,)</f>
        <v>2.7</v>
      </c>
      <c r="I46" s="6">
        <f>VLOOKUP(A46,'[1]root data'!B:J,9,)</f>
        <v>0.47432024169184289</v>
      </c>
      <c r="J46" s="6">
        <f>VLOOKUP(A46,'[1]root data'!B:K,10,)</f>
        <v>24.622773642713199</v>
      </c>
      <c r="K46" s="6">
        <f>VLOOKUP(A46,'[1]root data'!B:L,11,)</f>
        <v>21.081633556053401</v>
      </c>
      <c r="L46" s="6">
        <f>VLOOKUP(A46,'[1]root data'!B:M,12,)</f>
        <v>0.254</v>
      </c>
      <c r="M46" s="6">
        <f>VLOOKUP(A46,'[1]root data'!B:Q,16,)</f>
        <v>47.189936305732481</v>
      </c>
      <c r="N46" s="6">
        <f>VLOOKUP(A46,'[1]root data'!B:R,17,)</f>
        <v>376.37388535031857</v>
      </c>
      <c r="O46" s="6">
        <f>VLOOKUP(A46,'[1]root data'!B:S,18,)</f>
        <v>0.32519988400513689</v>
      </c>
      <c r="P46" s="11">
        <f>VLOOKUP(A46,[1]leaf_photosynthesis!B:C,2,)</f>
        <v>3.2825402990000003</v>
      </c>
      <c r="Q46" s="11">
        <f>VLOOKUP(A46,[1]leaf_photosynthesis!B:D,3,)</f>
        <v>12.924027996594234</v>
      </c>
      <c r="R46" s="11">
        <f>VLOOKUP(A46,[1]leaf_respiration!B:C,2,)</f>
        <v>-0.47839999999999999</v>
      </c>
      <c r="S46" s="11">
        <f>VLOOKUP(A46,[1]leaf_respiration!B:D,3,)</f>
        <v>-0.22538439173445901</v>
      </c>
      <c r="T46">
        <v>1.32</v>
      </c>
      <c r="U46">
        <v>48.96</v>
      </c>
      <c r="V46">
        <v>0.52</v>
      </c>
      <c r="W46">
        <v>0.78</v>
      </c>
      <c r="X46">
        <v>48.78</v>
      </c>
      <c r="Y46">
        <v>0.63</v>
      </c>
      <c r="Z46">
        <v>-29.955249999999999</v>
      </c>
    </row>
    <row r="47" spans="1:26">
      <c r="A47" s="11" t="s">
        <v>74</v>
      </c>
      <c r="B47" s="11" t="s">
        <v>74</v>
      </c>
      <c r="C47" s="11" t="s">
        <v>173</v>
      </c>
      <c r="D47" s="11" t="s">
        <v>213</v>
      </c>
      <c r="E47" s="11">
        <f>VLOOKUP(A47,[1]SLA!C:G,5,)</f>
        <v>106.049859831798</v>
      </c>
      <c r="F47" s="11">
        <v>1648.43902122547</v>
      </c>
      <c r="G47" s="11">
        <f>VLOOKUP(A47,[1]DBH_H!B:D,3,)</f>
        <v>4.5</v>
      </c>
      <c r="H47" s="11">
        <f>VLOOKUP(A47,[1]DBH_H!B:C,2,)</f>
        <v>3.8</v>
      </c>
      <c r="I47" s="6">
        <f>VLOOKUP(A47,'[1]root data'!B:J,9,)</f>
        <v>0.37693298969072164</v>
      </c>
      <c r="J47" s="6">
        <f>VLOOKUP(A47,'[1]root data'!B:K,10,)</f>
        <v>14.8190525105591</v>
      </c>
      <c r="K47" s="6">
        <f>VLOOKUP(A47,'[1]root data'!B:L,11,)</f>
        <v>11.9526844507596</v>
      </c>
      <c r="L47" s="6">
        <f>VLOOKUP(A47,'[1]root data'!B:M,12,)</f>
        <v>0.33600000000000002</v>
      </c>
      <c r="M47" s="6">
        <f>VLOOKUP(A47,'[1]root data'!B:Q,16,)</f>
        <v>35.44588034188034</v>
      </c>
      <c r="N47" s="6">
        <f>VLOOKUP(A47,'[1]root data'!B:R,17,)</f>
        <v>369.85162393162392</v>
      </c>
      <c r="O47" s="6">
        <f>VLOOKUP(A47,'[1]root data'!B:S,18,)</f>
        <v>0.2596745412416438</v>
      </c>
      <c r="P47" s="11">
        <f>VLOOKUP(A47,[1]leaf_photosynthesis!B:C,2,)</f>
        <v>3.9530928260000002</v>
      </c>
      <c r="Q47" s="11">
        <f>VLOOKUP(A47,[1]leaf_photosynthesis!B:D,3,)</f>
        <v>15.037379270234728</v>
      </c>
      <c r="R47" s="11">
        <f>VLOOKUP(A47,[1]leaf_respiration!B:C,2,)</f>
        <v>-0.222115765034194</v>
      </c>
      <c r="S47" s="11">
        <f>VLOOKUP(A47,[1]leaf_respiration!B:D,3,)</f>
        <v>0.43874660194128801</v>
      </c>
      <c r="T47">
        <v>1.24</v>
      </c>
      <c r="U47">
        <v>49.71</v>
      </c>
      <c r="V47">
        <v>0.57999999999999996</v>
      </c>
      <c r="W47">
        <v>1.27</v>
      </c>
      <c r="X47">
        <v>46.75</v>
      </c>
      <c r="Y47">
        <v>0.64</v>
      </c>
      <c r="Z47">
        <v>-29.757249999999999</v>
      </c>
    </row>
    <row r="48" spans="1:26">
      <c r="A48" s="11" t="s">
        <v>75</v>
      </c>
      <c r="B48" s="11" t="s">
        <v>75</v>
      </c>
      <c r="C48" s="11" t="s">
        <v>174</v>
      </c>
      <c r="D48" s="11" t="s">
        <v>214</v>
      </c>
      <c r="E48" s="11">
        <f>VLOOKUP(A48,[1]SLA!C:G,5,)</f>
        <v>95.242563291139206</v>
      </c>
      <c r="F48" s="11">
        <v>467.82454326923101</v>
      </c>
      <c r="G48" s="11">
        <f>VLOOKUP(A48,[1]DBH_H!B:D,3,)</f>
        <v>3.4</v>
      </c>
      <c r="H48" s="11">
        <f>VLOOKUP(A48,[1]DBH_H!B:C,2,)</f>
        <v>3.6</v>
      </c>
      <c r="I48" s="6">
        <f>VLOOKUP(A48,'[1]root data'!B:J,9,)</f>
        <v>0.35405690200210749</v>
      </c>
      <c r="J48" s="6">
        <f>VLOOKUP(A48,'[1]root data'!B:K,10,)</f>
        <v>8.6146292588893996</v>
      </c>
      <c r="K48" s="6">
        <f>VLOOKUP(A48,'[1]root data'!B:L,11,)</f>
        <v>7.15446086874113</v>
      </c>
      <c r="L48" s="6">
        <f>VLOOKUP(A48,'[1]root data'!B:M,12,)</f>
        <v>0.38100000000000001</v>
      </c>
      <c r="M48" s="6">
        <f>VLOOKUP(A48,'[1]root data'!B:Q,16,)</f>
        <v>25.390892857142859</v>
      </c>
      <c r="N48" s="6">
        <f>VLOOKUP(A48,'[1]root data'!B:R,17,)</f>
        <v>303.96577380952385</v>
      </c>
      <c r="O48" s="6">
        <f>VLOOKUP(A48,'[1]root data'!B:S,18,)</f>
        <v>0.2791022211885103</v>
      </c>
      <c r="P48" s="11">
        <f>VLOOKUP(A48,[1]leaf_photosynthesis!B:C,2,)</f>
        <v>11.265361759666666</v>
      </c>
      <c r="Q48" s="11">
        <f>VLOOKUP(A48,[1]leaf_photosynthesis!B:D,3,)</f>
        <v>44.886492728631765</v>
      </c>
      <c r="R48" s="11">
        <f>VLOOKUP(A48,[1]leaf_respiration!B:C,2,)</f>
        <v>-0.51659542237147105</v>
      </c>
      <c r="S48" s="11">
        <f>VLOOKUP(A48,[1]leaf_respiration!B:D,3,)</f>
        <v>-0.21826842959051901</v>
      </c>
      <c r="T48">
        <v>1.08</v>
      </c>
      <c r="U48">
        <v>48.77</v>
      </c>
      <c r="V48">
        <v>0.53</v>
      </c>
      <c r="W48">
        <v>0.73</v>
      </c>
      <c r="X48">
        <v>45.97</v>
      </c>
      <c r="Y48">
        <v>0.9</v>
      </c>
    </row>
    <row r="49" spans="1:26">
      <c r="A49" s="11" t="s">
        <v>76</v>
      </c>
      <c r="B49" s="11" t="s">
        <v>76</v>
      </c>
      <c r="C49" s="11" t="s">
        <v>175</v>
      </c>
      <c r="D49" s="11" t="s">
        <v>215</v>
      </c>
      <c r="E49" s="11">
        <f>VLOOKUP(A49,[1]SLA!C:G,5,)</f>
        <v>146.50469707283901</v>
      </c>
      <c r="F49" s="11">
        <v>176.39165527569801</v>
      </c>
      <c r="G49" s="11">
        <f>VLOOKUP(A49,[1]DBH_H!B:D,3,)</f>
        <v>2.7</v>
      </c>
      <c r="H49" s="11">
        <f>VLOOKUP(A49,[1]DBH_H!B:C,2,)</f>
        <v>0.4</v>
      </c>
      <c r="I49" s="6">
        <f>VLOOKUP(A49,'[1]root data'!B:J,9,)</f>
        <v>0</v>
      </c>
      <c r="J49" s="6">
        <f>VLOOKUP(A49,'[1]root data'!B:K,10,)</f>
        <v>0</v>
      </c>
      <c r="K49" s="6">
        <f>VLOOKUP(A49,'[1]root data'!B:L,11,)</f>
        <v>0</v>
      </c>
      <c r="L49" s="6">
        <f>VLOOKUP(A49,'[1]root data'!B:M,12,)</f>
        <v>0</v>
      </c>
      <c r="M49" s="6">
        <f>VLOOKUP(A49,'[1]root data'!B:Q,16,)</f>
        <v>0</v>
      </c>
      <c r="N49" s="6">
        <f>VLOOKUP(A49,'[1]root data'!B:R,17,)</f>
        <v>0</v>
      </c>
      <c r="O49" s="6">
        <f>VLOOKUP(A49,'[1]root data'!B:S,18,)</f>
        <v>0</v>
      </c>
      <c r="P49" s="11">
        <f>VLOOKUP(A49,[1]leaf_photosynthesis!B:C,2,)</f>
        <v>1.7602842656666666</v>
      </c>
      <c r="Q49" s="11">
        <f>VLOOKUP(A49,[1]leaf_photosynthesis!B:D,3,)</f>
        <v>7.8563740944154645</v>
      </c>
      <c r="R49" s="11" t="e">
        <f>VLOOKUP(A49,[1]leaf_respiration!B:C,2,)</f>
        <v>#N/A</v>
      </c>
      <c r="S49" s="11" t="e">
        <f>VLOOKUP(A49,[1]leaf_respiration!B:D,3,)</f>
        <v>#N/A</v>
      </c>
      <c r="T49">
        <v>2.14</v>
      </c>
      <c r="U49">
        <v>48.05</v>
      </c>
      <c r="V49">
        <v>0.72</v>
      </c>
      <c r="Z49">
        <v>-31.239249999999998</v>
      </c>
    </row>
    <row r="50" spans="1:26">
      <c r="A50" s="11" t="s">
        <v>77</v>
      </c>
      <c r="B50" s="11" t="s">
        <v>77</v>
      </c>
      <c r="C50" s="11" t="s">
        <v>176</v>
      </c>
      <c r="D50" s="11" t="s">
        <v>216</v>
      </c>
      <c r="E50" s="11" t="e">
        <f>VLOOKUP(A50,[1]SLA!C:G,5,)</f>
        <v>#N/A</v>
      </c>
      <c r="F50" s="11">
        <v>177.39165527569801</v>
      </c>
      <c r="G50" s="11">
        <f>VLOOKUP(A50,[1]DBH_H!B:D,3,)</f>
        <v>3</v>
      </c>
      <c r="H50" s="11">
        <f>VLOOKUP(A50,[1]DBH_H!B:C,2,)</f>
        <v>0.65</v>
      </c>
      <c r="I50" s="6">
        <f>VLOOKUP(A50,'[1]root data'!B:J,9,)</f>
        <v>0</v>
      </c>
      <c r="J50" s="6">
        <f>VLOOKUP(A50,'[1]root data'!B:K,10,)</f>
        <v>0</v>
      </c>
      <c r="K50" s="6">
        <f>VLOOKUP(A50,'[1]root data'!B:L,11,)</f>
        <v>0</v>
      </c>
      <c r="L50" s="6">
        <f>VLOOKUP(A50,'[1]root data'!B:M,12,)</f>
        <v>0</v>
      </c>
      <c r="M50" s="6">
        <f>VLOOKUP(A50,'[1]root data'!B:Q,16,)</f>
        <v>0</v>
      </c>
      <c r="N50" s="6">
        <f>VLOOKUP(A50,'[1]root data'!B:R,17,)</f>
        <v>0</v>
      </c>
      <c r="O50" s="6">
        <f>VLOOKUP(A50,'[1]root data'!B:S,18,)</f>
        <v>0</v>
      </c>
      <c r="P50" s="11">
        <f>VLOOKUP(A50,[1]leaf_photosynthesis!B:C,2,)</f>
        <v>2.240133573</v>
      </c>
      <c r="Q50" s="11">
        <f>VLOOKUP(A50,[1]leaf_photosynthesis!B:D,3,)</f>
        <v>10.281510920813256</v>
      </c>
      <c r="R50" s="11">
        <f>VLOOKUP(A50,[1]leaf_respiration!B:C,2,)</f>
        <v>-0.159226108868813</v>
      </c>
      <c r="S50" s="11">
        <f>VLOOKUP(A50,[1]leaf_respiration!B:D,3,)</f>
        <v>9.2093940022792295E-2</v>
      </c>
    </row>
    <row r="51" spans="1:26">
      <c r="A51" s="11" t="s">
        <v>78</v>
      </c>
      <c r="B51" s="11" t="s">
        <v>79</v>
      </c>
      <c r="C51" s="11" t="s">
        <v>177</v>
      </c>
      <c r="D51" s="11" t="s">
        <v>217</v>
      </c>
      <c r="E51" s="11">
        <f>VLOOKUP(A51,[1]SLA!C:G,5,)</f>
        <v>147.03483606557401</v>
      </c>
      <c r="F51" s="11">
        <v>1316.2558524590199</v>
      </c>
      <c r="G51" s="11">
        <f>VLOOKUP(A51,[1]DBH_H!B:D,3,)</f>
        <v>13.8</v>
      </c>
      <c r="H51" s="11">
        <f>VLOOKUP(A51,[1]DBH_H!B:C,2,)</f>
        <v>13.1</v>
      </c>
      <c r="I51" s="6">
        <f>VLOOKUP(A51,'[1]root data'!B:J,9,)</f>
        <v>0.27753303964757708</v>
      </c>
      <c r="J51" s="6">
        <f>VLOOKUP(A51,'[1]root data'!B:K,10,)</f>
        <v>9.1634021726711392</v>
      </c>
      <c r="K51" s="6">
        <f>VLOOKUP(A51,'[1]root data'!B:L,11,)</f>
        <v>9.4726147530592009</v>
      </c>
      <c r="L51" s="6">
        <f>VLOOKUP(A51,'[1]root data'!B:M,12,)</f>
        <v>0.34499999999999997</v>
      </c>
      <c r="M51" s="6">
        <f>VLOOKUP(A51,'[1]root data'!B:Q,16,)</f>
        <v>43.706031746031755</v>
      </c>
      <c r="N51" s="6">
        <f>VLOOKUP(A51,'[1]root data'!B:R,17,)</f>
        <v>472.79047619047617</v>
      </c>
      <c r="O51" s="6">
        <f>VLOOKUP(A51,'[1]root data'!B:S,18,)</f>
        <v>0.21706922096268477</v>
      </c>
      <c r="P51" s="11">
        <f>VLOOKUP(A51,[1]leaf_photosynthesis!B:C,2,)</f>
        <v>2.6589377490000001</v>
      </c>
      <c r="Q51" s="11">
        <f>VLOOKUP(A51,[1]leaf_photosynthesis!B:D,3,)</f>
        <v>9.8540412604748102</v>
      </c>
      <c r="R51" s="11">
        <f>VLOOKUP(A51,[1]leaf_respiration!B:C,2,)</f>
        <v>-0.251619632777483</v>
      </c>
      <c r="S51" s="11">
        <f>VLOOKUP(A51,[1]leaf_respiration!B:D,3,)</f>
        <v>0.55273840415068898</v>
      </c>
      <c r="T51">
        <v>1.8</v>
      </c>
      <c r="U51">
        <v>50.33</v>
      </c>
      <c r="V51">
        <v>0.66</v>
      </c>
      <c r="W51">
        <v>2.0499999999999998</v>
      </c>
      <c r="X51">
        <v>48.82</v>
      </c>
      <c r="Y51">
        <v>0.65</v>
      </c>
      <c r="Z51">
        <v>-34.991</v>
      </c>
    </row>
    <row r="52" spans="1:26">
      <c r="A52" s="11" t="s">
        <v>80</v>
      </c>
      <c r="B52" s="11" t="s">
        <v>79</v>
      </c>
      <c r="C52" s="11" t="s">
        <v>177</v>
      </c>
      <c r="D52" s="11" t="s">
        <v>217</v>
      </c>
      <c r="E52" s="11">
        <f>VLOOKUP(A52,[1]SLA!C:G,5,)</f>
        <v>179.17039928619201</v>
      </c>
      <c r="F52" s="11">
        <v>1969.2618585545399</v>
      </c>
      <c r="G52" s="11">
        <f>VLOOKUP(A52,[1]DBH_H!B:D,3,)</f>
        <v>11.5</v>
      </c>
      <c r="H52" s="11">
        <f>VLOOKUP(A52,[1]DBH_H!B:C,2,)</f>
        <v>9.6</v>
      </c>
      <c r="I52" s="6" t="e">
        <f>VLOOKUP(A52,'[1]root data'!B:J,9,)</f>
        <v>#N/A</v>
      </c>
      <c r="J52" s="6" t="e">
        <f>VLOOKUP(A52,'[1]root data'!B:K,10,)</f>
        <v>#N/A</v>
      </c>
      <c r="K52" s="6" t="e">
        <f>VLOOKUP(A52,'[1]root data'!B:L,11,)</f>
        <v>#N/A</v>
      </c>
      <c r="L52" s="6" t="e">
        <f>VLOOKUP(A52,'[1]root data'!B:M,12,)</f>
        <v>#N/A</v>
      </c>
      <c r="M52" s="6" t="e">
        <f>VLOOKUP(A52,'[1]root data'!B:Q,16,)</f>
        <v>#N/A</v>
      </c>
      <c r="N52" s="6" t="e">
        <f>VLOOKUP(A52,'[1]root data'!B:R,17,)</f>
        <v>#N/A</v>
      </c>
      <c r="O52" s="6" t="e">
        <f>VLOOKUP(A52,'[1]root data'!B:S,18,)</f>
        <v>#N/A</v>
      </c>
      <c r="P52" s="11">
        <f>VLOOKUP(A52,[1]leaf_photosynthesis!B:C,2,)</f>
        <v>4.1191372199999998</v>
      </c>
      <c r="Q52" s="11">
        <f>VLOOKUP(A52,[1]leaf_photosynthesis!B:D,3,)</f>
        <v>16.435370990934</v>
      </c>
      <c r="R52" s="11" t="e">
        <f>VLOOKUP(A52,[1]leaf_respiration!B:C,2,)</f>
        <v>#N/A</v>
      </c>
      <c r="S52" s="11" t="e">
        <f>VLOOKUP(A52,[1]leaf_respiration!B:D,3,)</f>
        <v>#N/A</v>
      </c>
      <c r="T52">
        <v>2.17</v>
      </c>
      <c r="U52">
        <v>50.92</v>
      </c>
      <c r="V52">
        <v>1.03</v>
      </c>
      <c r="Z52">
        <v>-33.130000000000003</v>
      </c>
    </row>
    <row r="53" spans="1:26">
      <c r="A53" s="11" t="s">
        <v>81</v>
      </c>
      <c r="B53" s="11" t="s">
        <v>79</v>
      </c>
      <c r="C53" s="11" t="s">
        <v>177</v>
      </c>
      <c r="D53" s="11" t="s">
        <v>217</v>
      </c>
      <c r="E53" s="11">
        <f>VLOOKUP(A53,[1]SLA!C:G,5,)</f>
        <v>119.642217245241</v>
      </c>
      <c r="F53" s="11">
        <v>2028.8927200447899</v>
      </c>
      <c r="G53" s="11">
        <f>VLOOKUP(A53,[1]DBH_H!B:D,3,)</f>
        <v>11.5</v>
      </c>
      <c r="H53" s="11">
        <f>VLOOKUP(A53,[1]DBH_H!B:C,2,)</f>
        <v>10.5</v>
      </c>
      <c r="I53" s="6" t="e">
        <f>VLOOKUP(A53,'[1]root data'!B:J,9,)</f>
        <v>#N/A</v>
      </c>
      <c r="J53" s="6" t="e">
        <f>VLOOKUP(A53,'[1]root data'!B:K,10,)</f>
        <v>#N/A</v>
      </c>
      <c r="K53" s="6" t="e">
        <f>VLOOKUP(A53,'[1]root data'!B:L,11,)</f>
        <v>#N/A</v>
      </c>
      <c r="L53" s="6" t="e">
        <f>VLOOKUP(A53,'[1]root data'!B:M,12,)</f>
        <v>#N/A</v>
      </c>
      <c r="M53" s="6" t="e">
        <f>VLOOKUP(A53,'[1]root data'!B:Q,16,)</f>
        <v>#N/A</v>
      </c>
      <c r="N53" s="6" t="e">
        <f>VLOOKUP(A53,'[1]root data'!B:R,17,)</f>
        <v>#N/A</v>
      </c>
      <c r="O53" s="6" t="e">
        <f>VLOOKUP(A53,'[1]root data'!B:S,18,)</f>
        <v>#N/A</v>
      </c>
      <c r="P53" s="11">
        <f>VLOOKUP(A53,[1]leaf_photosynthesis!B:C,2,)</f>
        <v>4.1438186430000004</v>
      </c>
      <c r="Q53" s="11">
        <f>VLOOKUP(A53,[1]leaf_photosynthesis!B:D,3,)</f>
        <v>17.975330078985198</v>
      </c>
      <c r="R53" s="11" t="e">
        <f>VLOOKUP(A53,[1]leaf_respiration!B:C,2,)</f>
        <v>#N/A</v>
      </c>
      <c r="S53" s="11" t="e">
        <f>VLOOKUP(A53,[1]leaf_respiration!B:D,3,)</f>
        <v>#N/A</v>
      </c>
      <c r="T53">
        <v>2.02</v>
      </c>
      <c r="U53">
        <v>50.57</v>
      </c>
      <c r="V53">
        <v>1.1299999999999999</v>
      </c>
      <c r="Z53">
        <v>-29.869</v>
      </c>
    </row>
    <row r="54" spans="1:26">
      <c r="A54" s="11" t="s">
        <v>82</v>
      </c>
      <c r="B54" s="11" t="s">
        <v>83</v>
      </c>
      <c r="C54" s="11" t="s">
        <v>171</v>
      </c>
      <c r="D54" s="11" t="s">
        <v>211</v>
      </c>
      <c r="E54" s="11">
        <f>VLOOKUP(A54,[1]SLA!C:G,5,)</f>
        <v>119.113491005996</v>
      </c>
      <c r="F54" s="11">
        <v>722.06598247834802</v>
      </c>
      <c r="G54" s="11">
        <f>VLOOKUP(A54,[1]DBH_H!B:D,3,)</f>
        <v>6.5</v>
      </c>
      <c r="H54" s="11">
        <f>VLOOKUP(A54,[1]DBH_H!B:C,2,)</f>
        <v>11.3</v>
      </c>
      <c r="I54" s="6">
        <f>VLOOKUP(A54,'[1]root data'!B:J,9,)</f>
        <v>0.18736383442265797</v>
      </c>
      <c r="J54" s="6">
        <f>VLOOKUP(A54,'[1]root data'!B:K,10,)</f>
        <v>9.9785602082156508</v>
      </c>
      <c r="K54" s="6">
        <f>VLOOKUP(A54,'[1]root data'!B:L,11,)</f>
        <v>10.3928922289147</v>
      </c>
      <c r="L54" s="6">
        <f>VLOOKUP(A54,'[1]root data'!B:M,12,)</f>
        <v>0.72099999999999997</v>
      </c>
      <c r="M54" s="6">
        <f>VLOOKUP(A54,'[1]root data'!B:Q,16,)</f>
        <v>15.267674418604651</v>
      </c>
      <c r="N54" s="6">
        <f>VLOOKUP(A54,'[1]root data'!B:R,17,)</f>
        <v>346.14147286821708</v>
      </c>
      <c r="O54" s="6">
        <f>VLOOKUP(A54,'[1]root data'!B:S,18,)</f>
        <v>0.14609286523216308</v>
      </c>
      <c r="P54" s="11">
        <f>VLOOKUP(A54,[1]leaf_photosynthesis!B:C,2,)</f>
        <v>2.4940002849999998</v>
      </c>
      <c r="Q54" s="11">
        <f>VLOOKUP(A54,[1]leaf_photosynthesis!B:D,3,)</f>
        <v>9.4452034844523496</v>
      </c>
      <c r="R54" s="11">
        <f>VLOOKUP(A54,[1]leaf_respiration!B:C,2,)</f>
        <v>-0.41144443698954702</v>
      </c>
      <c r="S54" s="11">
        <f>VLOOKUP(A54,[1]leaf_respiration!B:D,3,)</f>
        <v>-0.37536641666984799</v>
      </c>
      <c r="T54">
        <v>1.55</v>
      </c>
      <c r="U54">
        <v>49.62</v>
      </c>
      <c r="V54">
        <v>0.94</v>
      </c>
      <c r="W54">
        <v>1.02</v>
      </c>
      <c r="X54">
        <v>48.15</v>
      </c>
      <c r="Y54">
        <v>0.83</v>
      </c>
      <c r="Z54">
        <v>-35.241999999999997</v>
      </c>
    </row>
    <row r="55" spans="1:26">
      <c r="A55" s="11" t="s">
        <v>84</v>
      </c>
      <c r="B55" s="11" t="s">
        <v>83</v>
      </c>
      <c r="C55" s="11" t="s">
        <v>171</v>
      </c>
      <c r="D55" s="11" t="s">
        <v>211</v>
      </c>
      <c r="E55" s="11">
        <f>VLOOKUP(A55,[1]SLA!C:G,5,)</f>
        <v>129.89681386249299</v>
      </c>
      <c r="F55" s="11">
        <v>2074.4521173840099</v>
      </c>
      <c r="G55" s="11">
        <f>VLOOKUP(A55,[1]DBH_H!B:D,3,)</f>
        <v>9.8000000000000007</v>
      </c>
      <c r="H55" s="11">
        <f>VLOOKUP(A55,[1]DBH_H!B:C,2,)</f>
        <v>6.1</v>
      </c>
      <c r="I55" s="6" t="e">
        <f>VLOOKUP(A55,'[1]root data'!B:J,9,)</f>
        <v>#N/A</v>
      </c>
      <c r="J55" s="6" t="e">
        <f>VLOOKUP(A55,'[1]root data'!B:K,10,)</f>
        <v>#N/A</v>
      </c>
      <c r="K55" s="6" t="e">
        <f>VLOOKUP(A55,'[1]root data'!B:L,11,)</f>
        <v>#N/A</v>
      </c>
      <c r="L55" s="6" t="e">
        <f>VLOOKUP(A55,'[1]root data'!B:M,12,)</f>
        <v>#N/A</v>
      </c>
      <c r="M55" s="6" t="e">
        <f>VLOOKUP(A55,'[1]root data'!B:Q,16,)</f>
        <v>#N/A</v>
      </c>
      <c r="N55" s="6" t="e">
        <f>VLOOKUP(A55,'[1]root data'!B:R,17,)</f>
        <v>#N/A</v>
      </c>
      <c r="O55" s="6" t="e">
        <f>VLOOKUP(A55,'[1]root data'!B:S,18,)</f>
        <v>#N/A</v>
      </c>
      <c r="P55" s="11">
        <f>VLOOKUP(A55,[1]leaf_photosynthesis!B:C,2,)</f>
        <v>1.934611511</v>
      </c>
      <c r="Q55" s="11">
        <f>VLOOKUP(A55,[1]leaf_photosynthesis!B:D,3,)</f>
        <v>7.4467420504293198</v>
      </c>
      <c r="R55" s="11" t="e">
        <f>VLOOKUP(A55,[1]leaf_respiration!B:C,2,)</f>
        <v>#N/A</v>
      </c>
      <c r="S55" s="11" t="e">
        <f>VLOOKUP(A55,[1]leaf_respiration!B:D,3,)</f>
        <v>#N/A</v>
      </c>
      <c r="T55">
        <v>1.1399999999999999</v>
      </c>
      <c r="U55">
        <v>47.95</v>
      </c>
      <c r="V55">
        <v>0.62</v>
      </c>
      <c r="Z55">
        <v>-32.593000000000004</v>
      </c>
    </row>
    <row r="56" spans="1:26">
      <c r="A56" s="11" t="s">
        <v>85</v>
      </c>
      <c r="B56" s="11" t="s">
        <v>83</v>
      </c>
      <c r="C56" s="11" t="s">
        <v>171</v>
      </c>
      <c r="D56" s="11" t="s">
        <v>211</v>
      </c>
      <c r="E56" s="11">
        <f>VLOOKUP(A56,[1]SLA!C:G,5,)</f>
        <v>102.349588566479</v>
      </c>
      <c r="F56" s="11">
        <v>1692.1457477695999</v>
      </c>
      <c r="G56" s="11">
        <f>VLOOKUP(A56,[1]DBH_H!B:D,3,)</f>
        <v>13.5</v>
      </c>
      <c r="H56" s="11">
        <f>VLOOKUP(A56,[1]DBH_H!B:C,2,)</f>
        <v>8</v>
      </c>
      <c r="I56" s="6" t="e">
        <f>VLOOKUP(A56,'[1]root data'!B:J,9,)</f>
        <v>#N/A</v>
      </c>
      <c r="J56" s="6" t="e">
        <f>VLOOKUP(A56,'[1]root data'!B:K,10,)</f>
        <v>#N/A</v>
      </c>
      <c r="K56" s="6" t="e">
        <f>VLOOKUP(A56,'[1]root data'!B:L,11,)</f>
        <v>#N/A</v>
      </c>
      <c r="L56" s="6" t="e">
        <f>VLOOKUP(A56,'[1]root data'!B:M,12,)</f>
        <v>#N/A</v>
      </c>
      <c r="M56" s="6" t="e">
        <f>VLOOKUP(A56,'[1]root data'!B:Q,16,)</f>
        <v>#N/A</v>
      </c>
      <c r="N56" s="6" t="e">
        <f>VLOOKUP(A56,'[1]root data'!B:R,17,)</f>
        <v>#N/A</v>
      </c>
      <c r="O56" s="6" t="e">
        <f>VLOOKUP(A56,'[1]root data'!B:S,18,)</f>
        <v>#N/A</v>
      </c>
      <c r="P56" s="11">
        <f>VLOOKUP(A56,[1]leaf_photosynthesis!B:C,2,)</f>
        <v>2.4709496500000001</v>
      </c>
      <c r="Q56" s="11">
        <f>VLOOKUP(A56,[1]leaf_photosynthesis!B:D,3,)</f>
        <v>8.6744234989184097</v>
      </c>
      <c r="R56" s="11" t="e">
        <f>VLOOKUP(A56,[1]leaf_respiration!B:C,2,)</f>
        <v>#N/A</v>
      </c>
      <c r="S56" s="11" t="e">
        <f>VLOOKUP(A56,[1]leaf_respiration!B:D,3,)</f>
        <v>#N/A</v>
      </c>
      <c r="T56">
        <v>1.1000000000000001</v>
      </c>
      <c r="U56">
        <v>48.83</v>
      </c>
      <c r="V56">
        <v>0.48</v>
      </c>
      <c r="Z56">
        <v>-31.181999999999999</v>
      </c>
    </row>
    <row r="57" spans="1:26">
      <c r="A57" s="11" t="s">
        <v>86</v>
      </c>
      <c r="B57" s="11" t="s">
        <v>87</v>
      </c>
      <c r="C57" s="11" t="s">
        <v>178</v>
      </c>
      <c r="D57" s="11" t="s">
        <v>218</v>
      </c>
      <c r="E57" s="11">
        <f>VLOOKUP(A57,[1]SLA!C:G,5,)</f>
        <v>146.054254545455</v>
      </c>
      <c r="F57" s="11">
        <v>405.73871912727299</v>
      </c>
      <c r="G57" s="11">
        <f>VLOOKUP(A57,[1]DBH_H!B:D,3,)</f>
        <v>12</v>
      </c>
      <c r="H57" s="11">
        <f>VLOOKUP(A57,[1]DBH_H!B:C,2,)</f>
        <v>10.1</v>
      </c>
      <c r="I57" s="6">
        <f>VLOOKUP(A57,'[1]root data'!B:J,9,)</f>
        <v>0.23794950267788828</v>
      </c>
      <c r="J57" s="6">
        <f>VLOOKUP(A57,'[1]root data'!B:K,10,)</f>
        <v>8.28442280441935</v>
      </c>
      <c r="K57" s="6">
        <f>VLOOKUP(A57,'[1]root data'!B:L,11,)</f>
        <v>8.36346332151445</v>
      </c>
      <c r="L57" s="6">
        <f>VLOOKUP(A57,'[1]root data'!B:M,12,)</f>
        <v>0.53100000000000003</v>
      </c>
      <c r="M57" s="6">
        <f>VLOOKUP(A57,'[1]root data'!B:Q,16,)</f>
        <v>18.810803858520899</v>
      </c>
      <c r="N57" s="6">
        <f>VLOOKUP(A57,'[1]root data'!B:R,17,)</f>
        <v>313.60064308681677</v>
      </c>
      <c r="O57" s="6">
        <f>VLOOKUP(A57,'[1]root data'!B:S,18,)</f>
        <v>0.22357855083716147</v>
      </c>
      <c r="P57" s="11">
        <f>VLOOKUP(A57,[1]leaf_photosynthesis!B:C,2,)</f>
        <v>4.9632583950000004</v>
      </c>
      <c r="Q57" s="11">
        <f>VLOOKUP(A57,[1]leaf_photosynthesis!B:D,3,)</f>
        <v>20.371382093576901</v>
      </c>
      <c r="R57" s="11">
        <f>VLOOKUP(A57,[1]leaf_respiration!B:C,2,)</f>
        <v>-0.38856173116995102</v>
      </c>
      <c r="S57" s="11">
        <f>VLOOKUP(A57,[1]leaf_respiration!B:D,3,)</f>
        <v>-4.5849913792038101E-2</v>
      </c>
      <c r="T57">
        <v>1.55</v>
      </c>
      <c r="U57">
        <v>46.68</v>
      </c>
      <c r="V57">
        <v>0.61</v>
      </c>
      <c r="W57">
        <v>1.1499999999999999</v>
      </c>
      <c r="X57">
        <v>48.53</v>
      </c>
      <c r="Y57">
        <v>0.52</v>
      </c>
      <c r="Z57">
        <v>-32.811</v>
      </c>
    </row>
    <row r="58" spans="1:26">
      <c r="A58" s="11" t="s">
        <v>88</v>
      </c>
      <c r="B58" s="11" t="s">
        <v>87</v>
      </c>
      <c r="C58" s="11" t="s">
        <v>178</v>
      </c>
      <c r="D58" s="11" t="s">
        <v>218</v>
      </c>
      <c r="E58" s="11">
        <f>VLOOKUP(A58,[1]SLA!C:G,5,)</f>
        <v>166.04880219028101</v>
      </c>
      <c r="F58" s="11">
        <v>495.65567453798798</v>
      </c>
      <c r="G58" s="11">
        <f>VLOOKUP(A58,[1]DBH_H!B:D,3,)</f>
        <v>9.5</v>
      </c>
      <c r="H58" s="11">
        <f>VLOOKUP(A58,[1]DBH_H!B:C,2,)</f>
        <v>5.7</v>
      </c>
      <c r="I58" s="6" t="e">
        <f>VLOOKUP(A58,'[1]root data'!B:J,9,)</f>
        <v>#N/A</v>
      </c>
      <c r="J58" s="6" t="e">
        <f>VLOOKUP(A58,'[1]root data'!B:K,10,)</f>
        <v>#N/A</v>
      </c>
      <c r="K58" s="6" t="e">
        <f>VLOOKUP(A58,'[1]root data'!B:L,11,)</f>
        <v>#N/A</v>
      </c>
      <c r="L58" s="6" t="e">
        <f>VLOOKUP(A58,'[1]root data'!B:M,12,)</f>
        <v>#N/A</v>
      </c>
      <c r="M58" s="6" t="e">
        <f>VLOOKUP(A58,'[1]root data'!B:Q,16,)</f>
        <v>#N/A</v>
      </c>
      <c r="N58" s="6" t="e">
        <f>VLOOKUP(A58,'[1]root data'!B:R,17,)</f>
        <v>#N/A</v>
      </c>
      <c r="O58" s="6" t="e">
        <f>VLOOKUP(A58,'[1]root data'!B:S,18,)</f>
        <v>#N/A</v>
      </c>
      <c r="P58" s="11">
        <f>VLOOKUP(A58,[1]leaf_photosynthesis!B:C,2,)</f>
        <v>3.579987305</v>
      </c>
      <c r="Q58" s="11">
        <f>VLOOKUP(A58,[1]leaf_photosynthesis!B:D,3,)</f>
        <v>15.763120601492201</v>
      </c>
      <c r="R58" s="11" t="e">
        <f>VLOOKUP(A58,[1]leaf_respiration!B:C,2,)</f>
        <v>#N/A</v>
      </c>
      <c r="S58" s="11" t="e">
        <f>VLOOKUP(A58,[1]leaf_respiration!B:D,3,)</f>
        <v>#N/A</v>
      </c>
      <c r="T58">
        <v>1.99</v>
      </c>
      <c r="U58">
        <v>46.9</v>
      </c>
      <c r="V58">
        <v>0.71</v>
      </c>
      <c r="Z58">
        <v>-31.407250000000001</v>
      </c>
    </row>
    <row r="59" spans="1:26">
      <c r="A59" s="11" t="s">
        <v>89</v>
      </c>
      <c r="B59" s="11" t="s">
        <v>87</v>
      </c>
      <c r="C59" s="11" t="s">
        <v>178</v>
      </c>
      <c r="D59" s="11" t="s">
        <v>218</v>
      </c>
      <c r="E59" s="11">
        <f>VLOOKUP(A59,[1]SLA!C:G,5,)</f>
        <v>231.99594095941001</v>
      </c>
      <c r="F59" s="11">
        <v>1006.39839188192</v>
      </c>
      <c r="G59" s="11">
        <f>VLOOKUP(A59,[1]DBH_H!B:D,3,)</f>
        <v>9.5</v>
      </c>
      <c r="H59" s="11">
        <f>VLOOKUP(A59,[1]DBH_H!B:C,2,)</f>
        <v>7.9</v>
      </c>
      <c r="I59" s="6" t="e">
        <f>VLOOKUP(A59,'[1]root data'!B:J,9,)</f>
        <v>#N/A</v>
      </c>
      <c r="J59" s="6" t="e">
        <f>VLOOKUP(A59,'[1]root data'!B:K,10,)</f>
        <v>#N/A</v>
      </c>
      <c r="K59" s="6" t="e">
        <f>VLOOKUP(A59,'[1]root data'!B:L,11,)</f>
        <v>#N/A</v>
      </c>
      <c r="L59" s="6" t="e">
        <f>VLOOKUP(A59,'[1]root data'!B:M,12,)</f>
        <v>#N/A</v>
      </c>
      <c r="M59" s="6" t="e">
        <f>VLOOKUP(A59,'[1]root data'!B:Q,16,)</f>
        <v>#N/A</v>
      </c>
      <c r="N59" s="6" t="e">
        <f>VLOOKUP(A59,'[1]root data'!B:R,17,)</f>
        <v>#N/A</v>
      </c>
      <c r="O59" s="6" t="e">
        <f>VLOOKUP(A59,'[1]root data'!B:S,18,)</f>
        <v>#N/A</v>
      </c>
      <c r="P59" s="11">
        <f>VLOOKUP(A59,[1]leaf_photosynthesis!B:C,2,)</f>
        <v>2.8140677209999998</v>
      </c>
      <c r="Q59" s="11">
        <f>VLOOKUP(A59,[1]leaf_photosynthesis!B:D,3,)</f>
        <v>11.0546389563199</v>
      </c>
      <c r="R59" s="11" t="e">
        <f>VLOOKUP(A59,[1]leaf_respiration!B:C,2,)</f>
        <v>#N/A</v>
      </c>
      <c r="S59" s="11" t="e">
        <f>VLOOKUP(A59,[1]leaf_respiration!B:D,3,)</f>
        <v>#N/A</v>
      </c>
      <c r="T59">
        <v>1.57</v>
      </c>
      <c r="U59">
        <v>47.09</v>
      </c>
      <c r="V59">
        <v>0.66</v>
      </c>
      <c r="Z59">
        <v>-31.239249999999998</v>
      </c>
    </row>
    <row r="60" spans="1:26">
      <c r="A60" s="11" t="s">
        <v>90</v>
      </c>
      <c r="B60" s="11" t="s">
        <v>91</v>
      </c>
      <c r="C60" s="11" t="s">
        <v>173</v>
      </c>
      <c r="D60" s="11" t="s">
        <v>213</v>
      </c>
      <c r="E60" s="11">
        <f>VLOOKUP(A60,[1]SLA!C:G,5,)</f>
        <v>100.736453458138</v>
      </c>
      <c r="F60" s="11">
        <v>1265.6528012480501</v>
      </c>
      <c r="G60" s="11">
        <f>VLOOKUP(A60,[1]DBH_H!B:D,3,)</f>
        <v>12</v>
      </c>
      <c r="H60" s="11">
        <f>VLOOKUP(A60,[1]DBH_H!B:C,2,)</f>
        <v>16.5</v>
      </c>
      <c r="I60" s="6">
        <f>VLOOKUP(A60,'[1]root data'!B:J,9,)</f>
        <v>0.2155388471177945</v>
      </c>
      <c r="J60" s="6">
        <f>VLOOKUP(A60,'[1]root data'!B:K,10,)</f>
        <v>16.081508122508801</v>
      </c>
      <c r="K60" s="6">
        <f>VLOOKUP(A60,'[1]root data'!B:L,11,)</f>
        <v>15.9652870976141</v>
      </c>
      <c r="L60" s="6">
        <f>VLOOKUP(A60,'[1]root data'!B:M,12,)</f>
        <v>0.42099999999999999</v>
      </c>
      <c r="M60" s="6">
        <f>VLOOKUP(A60,'[1]root data'!B:Q,16,)</f>
        <v>38.979825581395346</v>
      </c>
      <c r="N60" s="6">
        <f>VLOOKUP(A60,'[1]root data'!B:R,17,)</f>
        <v>512.91744186046503</v>
      </c>
      <c r="O60" s="6">
        <f>VLOOKUP(A60,'[1]root data'!B:S,18,)</f>
        <v>0.16233153384423721</v>
      </c>
      <c r="P60" s="11">
        <f>VLOOKUP(A60,[1]leaf_photosynthesis!B:C,2,)</f>
        <v>4.4336376949999998</v>
      </c>
      <c r="Q60" s="11">
        <f>VLOOKUP(A60,[1]leaf_photosynthesis!B:D,3,)</f>
        <v>18.338354127074599</v>
      </c>
      <c r="R60" s="11">
        <f>VLOOKUP(A60,[1]leaf_respiration!B:C,2,)</f>
        <v>-1.39138804794146</v>
      </c>
      <c r="S60" s="11">
        <f>VLOOKUP(A60,[1]leaf_respiration!B:D,3,)</f>
        <v>-0.179242726009052</v>
      </c>
      <c r="T60">
        <v>1.1200000000000001</v>
      </c>
      <c r="U60">
        <v>47.68</v>
      </c>
      <c r="V60">
        <v>0.56999999999999995</v>
      </c>
      <c r="W60">
        <v>1.83</v>
      </c>
      <c r="X60">
        <v>46.14</v>
      </c>
      <c r="Y60">
        <v>0.71</v>
      </c>
      <c r="Z60">
        <v>-34.991</v>
      </c>
    </row>
    <row r="61" spans="1:26">
      <c r="A61" s="11" t="s">
        <v>92</v>
      </c>
      <c r="B61" s="11" t="s">
        <v>91</v>
      </c>
      <c r="C61" s="11" t="s">
        <v>173</v>
      </c>
      <c r="D61" s="11" t="s">
        <v>213</v>
      </c>
      <c r="E61" s="11">
        <f>VLOOKUP(A61,[1]SLA!C:G,5,)</f>
        <v>84.623963133640601</v>
      </c>
      <c r="F61" s="11">
        <v>836.67712350230397</v>
      </c>
      <c r="G61" s="11">
        <f>VLOOKUP(A61,[1]DBH_H!B:D,3,)</f>
        <v>12.5</v>
      </c>
      <c r="H61" s="11">
        <f>VLOOKUP(A61,[1]DBH_H!B:C,2,)</f>
        <v>13.6</v>
      </c>
      <c r="I61" s="6" t="e">
        <f>VLOOKUP(A61,'[1]root data'!B:J,9,)</f>
        <v>#N/A</v>
      </c>
      <c r="J61" s="6" t="e">
        <f>VLOOKUP(A61,'[1]root data'!B:K,10,)</f>
        <v>#N/A</v>
      </c>
      <c r="K61" s="6" t="e">
        <f>VLOOKUP(A61,'[1]root data'!B:L,11,)</f>
        <v>#N/A</v>
      </c>
      <c r="L61" s="6" t="e">
        <f>VLOOKUP(A61,'[1]root data'!B:M,12,)</f>
        <v>#N/A</v>
      </c>
      <c r="M61" s="6" t="e">
        <f>VLOOKUP(A61,'[1]root data'!B:Q,16,)</f>
        <v>#N/A</v>
      </c>
      <c r="N61" s="6" t="e">
        <f>VLOOKUP(A61,'[1]root data'!B:R,17,)</f>
        <v>#N/A</v>
      </c>
      <c r="O61" s="6" t="e">
        <f>VLOOKUP(A61,'[1]root data'!B:S,18,)</f>
        <v>#N/A</v>
      </c>
      <c r="P61" s="11">
        <f>VLOOKUP(A61,[1]leaf_photosynthesis!B:C,2,)</f>
        <v>4.8206885100000001</v>
      </c>
      <c r="Q61" s="11">
        <f>VLOOKUP(A61,[1]leaf_photosynthesis!B:D,3,)</f>
        <v>21.1358621125555</v>
      </c>
      <c r="R61" s="11" t="e">
        <f>VLOOKUP(A61,[1]leaf_respiration!B:C,2,)</f>
        <v>#N/A</v>
      </c>
      <c r="S61" s="11" t="e">
        <f>VLOOKUP(A61,[1]leaf_respiration!B:D,3,)</f>
        <v>#N/A</v>
      </c>
      <c r="T61">
        <v>1.33</v>
      </c>
      <c r="U61">
        <v>46.96</v>
      </c>
      <c r="V61">
        <v>0.6</v>
      </c>
      <c r="Z61">
        <v>-34.991</v>
      </c>
    </row>
    <row r="62" spans="1:26">
      <c r="A62" s="11" t="s">
        <v>93</v>
      </c>
      <c r="B62" s="11" t="s">
        <v>91</v>
      </c>
      <c r="C62" s="11" t="s">
        <v>173</v>
      </c>
      <c r="D62" s="11" t="s">
        <v>213</v>
      </c>
      <c r="E62" s="11">
        <f>VLOOKUP(A62,[1]SLA!C:G,5,)</f>
        <v>124.41497674418601</v>
      </c>
      <c r="F62" s="11">
        <v>967.69968911627905</v>
      </c>
      <c r="G62" s="11">
        <f>VLOOKUP(A62,[1]DBH_H!B:D,3,)</f>
        <v>9.5</v>
      </c>
      <c r="H62" s="11">
        <f>VLOOKUP(A62,[1]DBH_H!B:C,2,)</f>
        <v>13.6</v>
      </c>
      <c r="I62" s="6" t="e">
        <f>VLOOKUP(A62,'[1]root data'!B:J,9,)</f>
        <v>#N/A</v>
      </c>
      <c r="J62" s="6" t="e">
        <f>VLOOKUP(A62,'[1]root data'!B:K,10,)</f>
        <v>#N/A</v>
      </c>
      <c r="K62" s="6" t="e">
        <f>VLOOKUP(A62,'[1]root data'!B:L,11,)</f>
        <v>#N/A</v>
      </c>
      <c r="L62" s="6" t="e">
        <f>VLOOKUP(A62,'[1]root data'!B:M,12,)</f>
        <v>#N/A</v>
      </c>
      <c r="M62" s="6" t="e">
        <f>VLOOKUP(A62,'[1]root data'!B:Q,16,)</f>
        <v>#N/A</v>
      </c>
      <c r="N62" s="6" t="e">
        <f>VLOOKUP(A62,'[1]root data'!B:R,17,)</f>
        <v>#N/A</v>
      </c>
      <c r="O62" s="6" t="e">
        <f>VLOOKUP(A62,'[1]root data'!B:S,18,)</f>
        <v>#N/A</v>
      </c>
      <c r="P62" s="11">
        <f>VLOOKUP(A62,[1]leaf_photosynthesis!B:C,2,)</f>
        <v>3.0468472289999999</v>
      </c>
      <c r="Q62" s="11">
        <f>VLOOKUP(A62,[1]leaf_photosynthesis!B:D,3,)</f>
        <v>11.9713952657501</v>
      </c>
      <c r="R62" s="11" t="e">
        <f>VLOOKUP(A62,[1]leaf_respiration!B:C,2,)</f>
        <v>#N/A</v>
      </c>
      <c r="S62" s="11" t="e">
        <f>VLOOKUP(A62,[1]leaf_respiration!B:D,3,)</f>
        <v>#N/A</v>
      </c>
      <c r="T62">
        <v>1.36</v>
      </c>
      <c r="U62">
        <v>47.83</v>
      </c>
      <c r="V62">
        <v>1.07</v>
      </c>
      <c r="Z62">
        <v>-34.991</v>
      </c>
    </row>
    <row r="63" spans="1:26">
      <c r="A63" s="11" t="s">
        <v>94</v>
      </c>
      <c r="B63" s="11" t="s">
        <v>95</v>
      </c>
      <c r="C63" s="11" t="s">
        <v>159</v>
      </c>
      <c r="D63" s="11" t="s">
        <v>198</v>
      </c>
      <c r="E63" s="11">
        <f>VLOOKUP(A63,[1]SLA!C:G,5,)</f>
        <v>93.966788685524094</v>
      </c>
      <c r="F63" s="11">
        <v>754.45934635607296</v>
      </c>
      <c r="G63" s="11">
        <f>VLOOKUP(A63,[1]DBH_H!B:D,3,)</f>
        <v>11.6</v>
      </c>
      <c r="H63" s="11">
        <f>VLOOKUP(A63,[1]DBH_H!B:C,2,)</f>
        <v>11.5</v>
      </c>
      <c r="I63" s="6">
        <f>VLOOKUP(A63,'[1]root data'!B:J,9,)</f>
        <v>0.27885425442291489</v>
      </c>
      <c r="J63" s="6">
        <f>VLOOKUP(A63,'[1]root data'!B:K,10,)</f>
        <v>6.7662585473266503</v>
      </c>
      <c r="K63" s="6">
        <f>VLOOKUP(A63,'[1]root data'!B:L,11,)</f>
        <v>6.7515198142227799</v>
      </c>
      <c r="L63" s="6">
        <f>VLOOKUP(A63,'[1]root data'!B:M,12,)</f>
        <v>0.58899999999999997</v>
      </c>
      <c r="M63" s="6">
        <f>VLOOKUP(A63,'[1]root data'!B:Q,16,)</f>
        <v>14.153534743202417</v>
      </c>
      <c r="N63" s="6">
        <f>VLOOKUP(A63,'[1]root data'!B:R,17,)</f>
        <v>261.60422960725077</v>
      </c>
      <c r="O63" s="6">
        <f>VLOOKUP(A63,'[1]root data'!B:S,18,)</f>
        <v>0.23802503937121114</v>
      </c>
      <c r="P63" s="11">
        <f>VLOOKUP(A63,[1]leaf_photosynthesis!B:C,2,)</f>
        <v>7.8091054819999997</v>
      </c>
      <c r="Q63" s="11">
        <f>VLOOKUP(A63,[1]leaf_photosynthesis!B:D,3,)</f>
        <v>31.972973694841802</v>
      </c>
      <c r="R63" s="11">
        <f>VLOOKUP(A63,[1]leaf_respiration!B:C,2,)</f>
        <v>-0.41620407991964098</v>
      </c>
      <c r="S63" s="11">
        <f>VLOOKUP(A63,[1]leaf_respiration!B:D,3,)</f>
        <v>1.00681732289853</v>
      </c>
      <c r="T63">
        <v>1.27</v>
      </c>
      <c r="U63">
        <v>48.16</v>
      </c>
      <c r="V63">
        <v>0.55000000000000004</v>
      </c>
      <c r="W63">
        <v>1</v>
      </c>
      <c r="X63">
        <v>47</v>
      </c>
      <c r="Y63">
        <v>0.93</v>
      </c>
      <c r="Z63">
        <v>-34.991</v>
      </c>
    </row>
    <row r="64" spans="1:26">
      <c r="A64" s="11" t="s">
        <v>96</v>
      </c>
      <c r="B64" s="11" t="s">
        <v>95</v>
      </c>
      <c r="C64" s="11" t="s">
        <v>159</v>
      </c>
      <c r="D64" s="11" t="s">
        <v>198</v>
      </c>
      <c r="E64" s="11">
        <f>VLOOKUP(A64,[1]SLA!C:G,5,)</f>
        <v>90.038881883144199</v>
      </c>
      <c r="F64" s="11">
        <v>1204.72023959647</v>
      </c>
      <c r="G64" s="11">
        <f>VLOOKUP(A64,[1]DBH_H!B:D,3,)</f>
        <v>12</v>
      </c>
      <c r="H64" s="11">
        <f>VLOOKUP(A64,[1]DBH_H!B:C,2,)</f>
        <v>8.8000000000000007</v>
      </c>
      <c r="I64" s="6" t="e">
        <f>VLOOKUP(A64,'[1]root data'!B:J,9,)</f>
        <v>#N/A</v>
      </c>
      <c r="J64" s="6" t="e">
        <f>VLOOKUP(A64,'[1]root data'!B:K,10,)</f>
        <v>#N/A</v>
      </c>
      <c r="K64" s="6" t="e">
        <f>VLOOKUP(A64,'[1]root data'!B:L,11,)</f>
        <v>#N/A</v>
      </c>
      <c r="L64" s="6" t="e">
        <f>VLOOKUP(A64,'[1]root data'!B:M,12,)</f>
        <v>#N/A</v>
      </c>
      <c r="M64" s="6" t="e">
        <f>VLOOKUP(A64,'[1]root data'!B:Q,16,)</f>
        <v>#N/A</v>
      </c>
      <c r="N64" s="6" t="e">
        <f>VLOOKUP(A64,'[1]root data'!B:R,17,)</f>
        <v>#N/A</v>
      </c>
      <c r="O64" s="6" t="e">
        <f>VLOOKUP(A64,'[1]root data'!B:S,18,)</f>
        <v>#N/A</v>
      </c>
      <c r="P64" s="11">
        <f>VLOOKUP(A64,[1]leaf_photosynthesis!B:C,2,)</f>
        <v>2.9953012999999999</v>
      </c>
      <c r="Q64" s="11">
        <f>VLOOKUP(A64,[1]leaf_photosynthesis!B:D,3,)</f>
        <v>12.8254016294936</v>
      </c>
      <c r="R64" s="11" t="e">
        <f>VLOOKUP(A64,[1]leaf_respiration!B:C,2,)</f>
        <v>#N/A</v>
      </c>
      <c r="S64" s="11" t="e">
        <f>VLOOKUP(A64,[1]leaf_respiration!B:D,3,)</f>
        <v>#N/A</v>
      </c>
      <c r="T64">
        <v>1.1599999999999999</v>
      </c>
      <c r="U64">
        <v>47.44</v>
      </c>
      <c r="V64">
        <v>0.51</v>
      </c>
      <c r="Z64">
        <v>-33.860999999999997</v>
      </c>
    </row>
    <row r="65" spans="1:26">
      <c r="A65" s="11" t="s">
        <v>97</v>
      </c>
      <c r="B65" s="11" t="s">
        <v>95</v>
      </c>
      <c r="C65" s="11" t="s">
        <v>159</v>
      </c>
      <c r="D65" s="11" t="s">
        <v>198</v>
      </c>
      <c r="E65" s="11">
        <f>VLOOKUP(A65,[1]SLA!C:G,5,)</f>
        <v>142.71013824884801</v>
      </c>
      <c r="F65" s="11">
        <v>748.22925483870995</v>
      </c>
      <c r="G65" s="11">
        <f>VLOOKUP(A65,[1]DBH_H!B:D,3,)</f>
        <v>12</v>
      </c>
      <c r="H65" s="11">
        <f>VLOOKUP(A65,[1]DBH_H!B:C,2,)</f>
        <v>10</v>
      </c>
      <c r="I65" s="6" t="e">
        <f>VLOOKUP(A65,'[1]root data'!B:J,9,)</f>
        <v>#N/A</v>
      </c>
      <c r="J65" s="6" t="e">
        <f>VLOOKUP(A65,'[1]root data'!B:K,10,)</f>
        <v>#N/A</v>
      </c>
      <c r="K65" s="6" t="e">
        <f>VLOOKUP(A65,'[1]root data'!B:L,11,)</f>
        <v>#N/A</v>
      </c>
      <c r="L65" s="6" t="e">
        <f>VLOOKUP(A65,'[1]root data'!B:M,12,)</f>
        <v>#N/A</v>
      </c>
      <c r="M65" s="6" t="e">
        <f>VLOOKUP(A65,'[1]root data'!B:Q,16,)</f>
        <v>#N/A</v>
      </c>
      <c r="N65" s="6" t="e">
        <f>VLOOKUP(A65,'[1]root data'!B:R,17,)</f>
        <v>#N/A</v>
      </c>
      <c r="O65" s="6" t="e">
        <f>VLOOKUP(A65,'[1]root data'!B:S,18,)</f>
        <v>#N/A</v>
      </c>
      <c r="P65" s="11">
        <f>VLOOKUP(A65,[1]leaf_photosynthesis!B:C,2,)</f>
        <v>3.2391688379999999</v>
      </c>
      <c r="Q65" s="11">
        <f>VLOOKUP(A65,[1]leaf_photosynthesis!B:D,3,)</f>
        <v>16.169676652607698</v>
      </c>
      <c r="R65" s="11" t="e">
        <f>VLOOKUP(A65,[1]leaf_respiration!B:C,2,)</f>
        <v>#N/A</v>
      </c>
      <c r="S65" s="11" t="e">
        <f>VLOOKUP(A65,[1]leaf_respiration!B:D,3,)</f>
        <v>#N/A</v>
      </c>
      <c r="T65">
        <v>1.42</v>
      </c>
      <c r="U65">
        <v>46.71</v>
      </c>
      <c r="V65">
        <v>0.63</v>
      </c>
      <c r="Z65">
        <v>-32.329000000000001</v>
      </c>
    </row>
    <row r="66" spans="1:26">
      <c r="A66" s="11" t="s">
        <v>98</v>
      </c>
      <c r="B66" s="11" t="s">
        <v>99</v>
      </c>
      <c r="C66" s="11" t="s">
        <v>150</v>
      </c>
      <c r="D66" s="11" t="s">
        <v>200</v>
      </c>
      <c r="E66" s="11">
        <f>VLOOKUP(A66,[1]SLA!C:G,5,)</f>
        <v>144.127077363897</v>
      </c>
      <c r="F66" s="11">
        <v>577.08481776504402</v>
      </c>
      <c r="G66" s="11">
        <f>VLOOKUP(A66,[1]DBH_H!B:D,3,)</f>
        <v>11</v>
      </c>
      <c r="H66" s="11">
        <f>VLOOKUP(A66,[1]DBH_H!B:C,2,)</f>
        <v>9.8000000000000007</v>
      </c>
      <c r="I66" s="6">
        <f>VLOOKUP(A66,'[1]root data'!B:J,9,)</f>
        <v>0.41745283018867924</v>
      </c>
      <c r="J66" s="6">
        <f>VLOOKUP(A66,'[1]root data'!B:K,10,)</f>
        <v>8.3602175224697604</v>
      </c>
      <c r="K66" s="6">
        <f>VLOOKUP(A66,'[1]root data'!B:L,11,)</f>
        <v>8.9077052273538992</v>
      </c>
      <c r="L66" s="6">
        <f>VLOOKUP(A66,'[1]root data'!B:M,12,)</f>
        <v>0.40600000000000003</v>
      </c>
      <c r="M66" s="6">
        <f>VLOOKUP(A66,'[1]root data'!B:Q,16,)</f>
        <v>19.999887005649715</v>
      </c>
      <c r="N66" s="6">
        <f>VLOOKUP(A66,'[1]root data'!B:R,17,)</f>
        <v>254.84011299435028</v>
      </c>
      <c r="O66" s="6">
        <f>VLOOKUP(A66,'[1]root data'!B:S,18,)</f>
        <v>0.33406941849272415</v>
      </c>
      <c r="P66" s="11">
        <f>VLOOKUP(A66,[1]leaf_photosynthesis!B:C,2,)</f>
        <v>1.451917202</v>
      </c>
      <c r="Q66" s="11">
        <f>VLOOKUP(A66,[1]leaf_photosynthesis!B:D,3,)</f>
        <v>6.4479292647715898</v>
      </c>
      <c r="R66" s="11">
        <f>VLOOKUP(A66,[1]leaf_respiration!B:C,2,)</f>
        <v>-0.74121967729736404</v>
      </c>
      <c r="S66" s="11">
        <f>VLOOKUP(A66,[1]leaf_respiration!B:D,3,)</f>
        <v>-0.103203349255689</v>
      </c>
      <c r="T66">
        <v>1.66</v>
      </c>
      <c r="U66">
        <v>47.16</v>
      </c>
      <c r="V66">
        <v>0.68</v>
      </c>
      <c r="W66">
        <v>0.83</v>
      </c>
      <c r="X66">
        <v>44.9</v>
      </c>
      <c r="Y66">
        <v>0.71</v>
      </c>
      <c r="Z66">
        <v>-33.759</v>
      </c>
    </row>
    <row r="67" spans="1:26">
      <c r="A67" s="11" t="s">
        <v>100</v>
      </c>
      <c r="B67" s="11" t="s">
        <v>99</v>
      </c>
      <c r="C67" s="11" t="s">
        <v>150</v>
      </c>
      <c r="D67" s="11" t="s">
        <v>200</v>
      </c>
      <c r="E67" s="11">
        <f>VLOOKUP(A67,[1]SLA!C:G,5,)</f>
        <v>183.61484464902199</v>
      </c>
      <c r="F67" s="11">
        <v>638.42881484464897</v>
      </c>
      <c r="G67" s="11">
        <f>VLOOKUP(A67,[1]DBH_H!B:D,3,)</f>
        <v>12.5</v>
      </c>
      <c r="H67" s="11">
        <f>VLOOKUP(A67,[1]DBH_H!B:C,2,)</f>
        <v>16.5</v>
      </c>
      <c r="I67" s="6" t="e">
        <f>VLOOKUP(A67,'[1]root data'!B:J,9,)</f>
        <v>#N/A</v>
      </c>
      <c r="J67" s="6" t="e">
        <f>VLOOKUP(A67,'[1]root data'!B:K,10,)</f>
        <v>#N/A</v>
      </c>
      <c r="K67" s="6" t="e">
        <f>VLOOKUP(A67,'[1]root data'!B:L,11,)</f>
        <v>#N/A</v>
      </c>
      <c r="L67" s="6" t="e">
        <f>VLOOKUP(A67,'[1]root data'!B:M,12,)</f>
        <v>#N/A</v>
      </c>
      <c r="M67" s="6" t="e">
        <f>VLOOKUP(A67,'[1]root data'!B:Q,16,)</f>
        <v>#N/A</v>
      </c>
      <c r="N67" s="6" t="e">
        <f>VLOOKUP(A67,'[1]root data'!B:R,17,)</f>
        <v>#N/A</v>
      </c>
      <c r="O67" s="6" t="e">
        <f>VLOOKUP(A67,'[1]root data'!B:S,18,)</f>
        <v>#N/A</v>
      </c>
      <c r="P67" s="11">
        <f>VLOOKUP(A67,[1]leaf_photosynthesis!B:C,2,)</f>
        <v>3.185867193</v>
      </c>
      <c r="Q67" s="11">
        <f>VLOOKUP(A67,[1]leaf_photosynthesis!B:D,3,)</f>
        <v>11.924461095773101</v>
      </c>
      <c r="R67" s="11" t="e">
        <f>VLOOKUP(A67,[1]leaf_respiration!B:C,2,)</f>
        <v>#N/A</v>
      </c>
      <c r="S67" s="11" t="e">
        <f>VLOOKUP(A67,[1]leaf_respiration!B:D,3,)</f>
        <v>#N/A</v>
      </c>
      <c r="T67">
        <v>1.65</v>
      </c>
      <c r="U67">
        <v>47.41</v>
      </c>
      <c r="V67">
        <v>0.69</v>
      </c>
      <c r="Z67">
        <v>-32.508000000000003</v>
      </c>
    </row>
    <row r="68" spans="1:26">
      <c r="A68" s="11" t="s">
        <v>101</v>
      </c>
      <c r="B68" s="11" t="s">
        <v>99</v>
      </c>
      <c r="C68" s="11" t="s">
        <v>150</v>
      </c>
      <c r="D68" s="11" t="s">
        <v>200</v>
      </c>
      <c r="E68" s="11">
        <f>VLOOKUP(A68,[1]SLA!C:G,5,)</f>
        <v>247.35603674540701</v>
      </c>
      <c r="F68" s="11">
        <v>374.74439566929101</v>
      </c>
      <c r="G68" s="11">
        <f>VLOOKUP(A68,[1]DBH_H!B:D,3,)</f>
        <v>8.5</v>
      </c>
      <c r="H68" s="11">
        <f>VLOOKUP(A68,[1]DBH_H!B:C,2,)</f>
        <v>8.15</v>
      </c>
      <c r="I68" s="6" t="e">
        <f>VLOOKUP(A68,'[1]root data'!B:J,9,)</f>
        <v>#N/A</v>
      </c>
      <c r="J68" s="6" t="e">
        <f>VLOOKUP(A68,'[1]root data'!B:K,10,)</f>
        <v>#N/A</v>
      </c>
      <c r="K68" s="6" t="e">
        <f>VLOOKUP(A68,'[1]root data'!B:L,11,)</f>
        <v>#N/A</v>
      </c>
      <c r="L68" s="6" t="e">
        <f>VLOOKUP(A68,'[1]root data'!B:M,12,)</f>
        <v>#N/A</v>
      </c>
      <c r="M68" s="6" t="e">
        <f>VLOOKUP(A68,'[1]root data'!B:Q,16,)</f>
        <v>#N/A</v>
      </c>
      <c r="N68" s="6" t="e">
        <f>VLOOKUP(A68,'[1]root data'!B:R,17,)</f>
        <v>#N/A</v>
      </c>
      <c r="O68" s="6" t="e">
        <f>VLOOKUP(A68,'[1]root data'!B:S,18,)</f>
        <v>#N/A</v>
      </c>
      <c r="P68" s="11">
        <f>VLOOKUP(A68,[1]leaf_photosynthesis!B:C,2,)</f>
        <v>1.4586197329999999</v>
      </c>
      <c r="Q68" s="11">
        <f>VLOOKUP(A68,[1]leaf_photosynthesis!B:D,3,)</f>
        <v>5.6540717626613999</v>
      </c>
      <c r="R68" s="11" t="e">
        <f>VLOOKUP(A68,[1]leaf_respiration!B:C,2,)</f>
        <v>#N/A</v>
      </c>
      <c r="S68" s="11" t="e">
        <f>VLOOKUP(A68,[1]leaf_respiration!B:D,3,)</f>
        <v>#N/A</v>
      </c>
      <c r="T68">
        <v>1.51</v>
      </c>
      <c r="U68">
        <v>46.96</v>
      </c>
      <c r="V68">
        <v>0.75</v>
      </c>
      <c r="Z68">
        <v>-33.055</v>
      </c>
    </row>
    <row r="69" spans="1:26">
      <c r="A69" s="11" t="s">
        <v>102</v>
      </c>
      <c r="B69" s="11" t="s">
        <v>103</v>
      </c>
      <c r="C69" s="11" t="s">
        <v>155</v>
      </c>
      <c r="D69" s="11" t="s">
        <v>194</v>
      </c>
      <c r="E69" s="11">
        <f>VLOOKUP(A69,[1]SLA!C:G,5,)</f>
        <v>120.15977788508</v>
      </c>
      <c r="F69" s="11">
        <v>929.07540260743599</v>
      </c>
      <c r="G69" s="11">
        <f>VLOOKUP(A69,[1]DBH_H!B:D,3,)</f>
        <v>13</v>
      </c>
      <c r="H69" s="11">
        <f>VLOOKUP(A69,[1]DBH_H!B:C,2,)</f>
        <v>17.2</v>
      </c>
      <c r="I69" s="6">
        <f>VLOOKUP(A69,'[1]root data'!B:J,9,)</f>
        <v>0.22690437601296598</v>
      </c>
      <c r="J69" s="6">
        <f>VLOOKUP(A69,'[1]root data'!B:K,10,)</f>
        <v>14.057600597526299</v>
      </c>
      <c r="K69" s="6">
        <f>VLOOKUP(A69,'[1]root data'!B:L,11,)</f>
        <v>15.2339328437243</v>
      </c>
      <c r="L69" s="6">
        <f>VLOOKUP(A69,'[1]root data'!B:M,12,)</f>
        <v>0.27900000000000003</v>
      </c>
      <c r="M69" s="6">
        <f>VLOOKUP(A69,'[1]root data'!B:Q,16,)</f>
        <v>88.60171428571428</v>
      </c>
      <c r="N69" s="6">
        <f>VLOOKUP(A69,'[1]root data'!B:R,17,)</f>
        <v>769.08428571428578</v>
      </c>
      <c r="O69" s="6">
        <f>VLOOKUP(A69,'[1]root data'!B:S,18,)</f>
        <v>0.14727075728727265</v>
      </c>
      <c r="P69" s="11">
        <f>VLOOKUP(A69,[1]leaf_photosynthesis!B:C,2,)</f>
        <v>4.6662208459999999</v>
      </c>
      <c r="Q69" s="11">
        <f>VLOOKUP(A69,[1]leaf_photosynthesis!B:D,3,)</f>
        <v>20.5477997920025</v>
      </c>
      <c r="R69" s="11">
        <f>VLOOKUP(A69,[1]leaf_respiration!B:C,2,)</f>
        <v>-0.602345830471675</v>
      </c>
      <c r="S69" s="11">
        <f>VLOOKUP(A69,[1]leaf_respiration!B:D,3,)</f>
        <v>-0.68940000000000001</v>
      </c>
      <c r="T69">
        <v>1.55</v>
      </c>
      <c r="U69">
        <v>47.53</v>
      </c>
      <c r="V69">
        <v>1.39</v>
      </c>
      <c r="W69">
        <v>1.06</v>
      </c>
      <c r="X69">
        <v>45.44</v>
      </c>
      <c r="Y69">
        <v>0.47</v>
      </c>
      <c r="Z69">
        <v>-33.130000000000003</v>
      </c>
    </row>
    <row r="70" spans="1:26">
      <c r="A70" s="11" t="s">
        <v>104</v>
      </c>
      <c r="B70" s="11" t="s">
        <v>103</v>
      </c>
      <c r="C70" s="11" t="s">
        <v>155</v>
      </c>
      <c r="D70" s="11" t="s">
        <v>194</v>
      </c>
      <c r="E70" s="11">
        <f>VLOOKUP(A70,[1]SLA!C:G,5,)</f>
        <v>132.77604584527199</v>
      </c>
      <c r="F70" s="11">
        <v>1439.2923369627499</v>
      </c>
      <c r="G70" s="11">
        <f>VLOOKUP(A70,[1]DBH_H!B:D,3,)</f>
        <v>14.5</v>
      </c>
      <c r="H70" s="11">
        <f>VLOOKUP(A70,[1]DBH_H!B:C,2,)</f>
        <v>34</v>
      </c>
      <c r="I70" s="6" t="e">
        <f>VLOOKUP(A70,'[1]root data'!B:J,9,)</f>
        <v>#N/A</v>
      </c>
      <c r="J70" s="6" t="e">
        <f>VLOOKUP(A70,'[1]root data'!B:K,10,)</f>
        <v>#N/A</v>
      </c>
      <c r="K70" s="6" t="e">
        <f>VLOOKUP(A70,'[1]root data'!B:L,11,)</f>
        <v>#N/A</v>
      </c>
      <c r="L70" s="6" t="e">
        <f>VLOOKUP(A70,'[1]root data'!B:M,12,)</f>
        <v>#N/A</v>
      </c>
      <c r="M70" s="6" t="e">
        <f>VLOOKUP(A70,'[1]root data'!B:Q,16,)</f>
        <v>#N/A</v>
      </c>
      <c r="N70" s="6" t="e">
        <f>VLOOKUP(A70,'[1]root data'!B:R,17,)</f>
        <v>#N/A</v>
      </c>
      <c r="O70" s="6" t="e">
        <f>VLOOKUP(A70,'[1]root data'!B:S,18,)</f>
        <v>#N/A</v>
      </c>
      <c r="P70" s="11">
        <f>VLOOKUP(A70,[1]leaf_photosynthesis!B:C,2,)</f>
        <v>5.1175712759999996</v>
      </c>
      <c r="Q70" s="11">
        <f>VLOOKUP(A70,[1]leaf_photosynthesis!B:D,3,)</f>
        <v>24.253221373054</v>
      </c>
      <c r="R70" s="11" t="e">
        <f>VLOOKUP(A70,[1]leaf_respiration!B:C,2,)</f>
        <v>#N/A</v>
      </c>
      <c r="S70" s="11" t="e">
        <f>VLOOKUP(A70,[1]leaf_respiration!B:D,3,)</f>
        <v>#N/A</v>
      </c>
      <c r="T70">
        <v>1.64</v>
      </c>
      <c r="U70">
        <v>47.01</v>
      </c>
      <c r="V70">
        <v>1.07</v>
      </c>
      <c r="Z70">
        <v>-31.315000000000001</v>
      </c>
    </row>
    <row r="71" spans="1:26">
      <c r="A71" s="11" t="s">
        <v>105</v>
      </c>
      <c r="B71" s="11" t="s">
        <v>103</v>
      </c>
      <c r="C71" s="11" t="s">
        <v>155</v>
      </c>
      <c r="D71" s="11" t="s">
        <v>194</v>
      </c>
      <c r="E71" s="11">
        <f>VLOOKUP(A71,[1]SLA!C:G,5,)</f>
        <v>94.797583465818803</v>
      </c>
      <c r="F71" s="11">
        <v>1012.53298899841</v>
      </c>
      <c r="G71" s="11">
        <f>VLOOKUP(A71,[1]DBH_H!B:D,3,)</f>
        <v>18.5</v>
      </c>
      <c r="H71" s="11">
        <f>VLOOKUP(A71,[1]DBH_H!B:C,2,)</f>
        <v>42.7</v>
      </c>
      <c r="I71" s="6" t="e">
        <f>VLOOKUP(A71,'[1]root data'!B:J,9,)</f>
        <v>#N/A</v>
      </c>
      <c r="J71" s="6" t="e">
        <f>VLOOKUP(A71,'[1]root data'!B:K,10,)</f>
        <v>#N/A</v>
      </c>
      <c r="K71" s="6" t="e">
        <f>VLOOKUP(A71,'[1]root data'!B:L,11,)</f>
        <v>#N/A</v>
      </c>
      <c r="L71" s="6" t="e">
        <f>VLOOKUP(A71,'[1]root data'!B:M,12,)</f>
        <v>#N/A</v>
      </c>
      <c r="M71" s="6" t="e">
        <f>VLOOKUP(A71,'[1]root data'!B:Q,16,)</f>
        <v>#N/A</v>
      </c>
      <c r="N71" s="6" t="e">
        <f>VLOOKUP(A71,'[1]root data'!B:R,17,)</f>
        <v>#N/A</v>
      </c>
      <c r="O71" s="6" t="e">
        <f>VLOOKUP(A71,'[1]root data'!B:S,18,)</f>
        <v>#N/A</v>
      </c>
      <c r="P71" s="11">
        <f>VLOOKUP(A71,[1]leaf_photosynthesis!B:C,2,)</f>
        <v>3.9687770580000001</v>
      </c>
      <c r="Q71" s="11">
        <f>VLOOKUP(A71,[1]leaf_photosynthesis!B:D,3,)</f>
        <v>17.5142732856538</v>
      </c>
      <c r="R71" s="11" t="e">
        <f>VLOOKUP(A71,[1]leaf_respiration!B:C,2,)</f>
        <v>#N/A</v>
      </c>
      <c r="S71" s="11" t="e">
        <f>VLOOKUP(A71,[1]leaf_respiration!B:D,3,)</f>
        <v>#N/A</v>
      </c>
      <c r="T71">
        <v>2.04</v>
      </c>
      <c r="U71">
        <v>47.97</v>
      </c>
      <c r="V71">
        <v>1.2</v>
      </c>
      <c r="Z71">
        <v>-31.353999999999999</v>
      </c>
    </row>
    <row r="72" spans="1:26">
      <c r="A72" s="11" t="s">
        <v>106</v>
      </c>
      <c r="B72" s="11" t="s">
        <v>106</v>
      </c>
      <c r="C72" s="11" t="s">
        <v>179</v>
      </c>
      <c r="D72" s="11" t="s">
        <v>219</v>
      </c>
      <c r="E72" s="11">
        <f>VLOOKUP(A72,[1]SLA!C:G,5,)</f>
        <v>160.27179916317999</v>
      </c>
      <c r="F72" s="11">
        <v>795.428939246862</v>
      </c>
      <c r="G72" s="11">
        <f>VLOOKUP(A72,[1]DBH_H!B:D,3,)</f>
        <v>9.5</v>
      </c>
      <c r="H72" s="11">
        <f>VLOOKUP(A72,[1]DBH_H!B:C,2,)</f>
        <v>8.85</v>
      </c>
      <c r="I72" s="6">
        <f>VLOOKUP(A72,'[1]root data'!B:J,9,)</f>
        <v>0.20263488080301131</v>
      </c>
      <c r="J72" s="6">
        <f>VLOOKUP(A72,'[1]root data'!B:K,10,)</f>
        <v>9.2261986409010497</v>
      </c>
      <c r="K72" s="6">
        <f>VLOOKUP(A72,'[1]root data'!B:L,11,)</f>
        <v>9.0288167814162392</v>
      </c>
      <c r="L72" s="6">
        <f>VLOOKUP(A72,'[1]root data'!B:M,12,)</f>
        <v>0.66900000000000004</v>
      </c>
      <c r="M72" s="6">
        <f>VLOOKUP(A72,'[1]root data'!B:Q,16,)</f>
        <v>16.01984520123839</v>
      </c>
      <c r="N72" s="6">
        <f>VLOOKUP(A72,'[1]root data'!B:R,17,)</f>
        <v>335.53405572755418</v>
      </c>
      <c r="O72" s="6">
        <f>VLOOKUP(A72,'[1]root data'!B:S,18,)</f>
        <v>0.15678546118224976</v>
      </c>
      <c r="P72" s="11">
        <f>VLOOKUP(A72,[1]leaf_photosynthesis!B:C,2,)</f>
        <v>2.6477754835000002</v>
      </c>
      <c r="Q72" s="11">
        <f>VLOOKUP(A72,[1]leaf_photosynthesis!B:D,3,)</f>
        <v>10.884255707246124</v>
      </c>
      <c r="R72" s="11">
        <f>VLOOKUP(A72,[1]leaf_respiration!B:C,2,)</f>
        <v>-1.4086645709560199</v>
      </c>
      <c r="S72" s="11">
        <f>VLOOKUP(A72,[1]leaf_respiration!B:D,3,)</f>
        <v>-0.69908864004739801</v>
      </c>
      <c r="T72" s="14">
        <v>1.63</v>
      </c>
      <c r="U72" s="15">
        <v>49.41</v>
      </c>
      <c r="V72" s="15">
        <v>0.94</v>
      </c>
      <c r="W72">
        <v>1.94</v>
      </c>
      <c r="X72">
        <v>46.52</v>
      </c>
      <c r="Y72">
        <v>0.66</v>
      </c>
      <c r="Z72">
        <v>-33.47</v>
      </c>
    </row>
    <row r="73" spans="1:26">
      <c r="A73" s="17" t="s">
        <v>107</v>
      </c>
      <c r="B73" s="11" t="s">
        <v>108</v>
      </c>
      <c r="C73" s="11" t="s">
        <v>154</v>
      </c>
      <c r="D73" s="11" t="s">
        <v>193</v>
      </c>
      <c r="E73" s="11">
        <f>VLOOKUP(A73,[1]SLA!C:G,5,)</f>
        <v>212.69271516811799</v>
      </c>
      <c r="F73" s="11">
        <v>596.97141754756899</v>
      </c>
      <c r="G73" s="11">
        <f>VLOOKUP(A73,[1]DBH_H!B:D,3,)</f>
        <v>10</v>
      </c>
      <c r="H73" s="11">
        <f>VLOOKUP(A73,[1]DBH_H!B:C,2,)</f>
        <v>11.2</v>
      </c>
      <c r="I73" s="6">
        <f>VLOOKUP(A73,'[1]root data'!B:J,9,)</f>
        <v>0.34549356223175964</v>
      </c>
      <c r="J73" s="6">
        <f>VLOOKUP(A73,'[1]root data'!B:K,10,)</f>
        <v>7.4053541631549704</v>
      </c>
      <c r="K73" s="6">
        <f>VLOOKUP(A73,'[1]root data'!B:L,11,)</f>
        <v>7.4869867993670498</v>
      </c>
      <c r="L73" s="6">
        <f>VLOOKUP(A73,'[1]root data'!B:M,12,)</f>
        <v>0.42299999999999999</v>
      </c>
      <c r="M73" s="6">
        <f>VLOOKUP(A73,'[1]root data'!B:Q,16,)</f>
        <v>19.500124223602484</v>
      </c>
      <c r="N73" s="6">
        <f>VLOOKUP(A73,'[1]root data'!B:R,17,)</f>
        <v>257.96521739130435</v>
      </c>
      <c r="O73" s="6">
        <f>VLOOKUP(A73,'[1]root data'!B:S,18,)</f>
        <v>0.31057697872258339</v>
      </c>
      <c r="P73" s="11">
        <f>VLOOKUP(A73,[1]leaf_photosynthesis!B:C,2,)</f>
        <v>1.9110928249999999</v>
      </c>
      <c r="Q73" s="11">
        <f>VLOOKUP(A73,[1]leaf_photosynthesis!B:D,3,)</f>
        <v>10.26587928888952</v>
      </c>
      <c r="R73" s="11">
        <f>VLOOKUP(A73,[1]leaf_respiration!B:C,2,)</f>
        <v>-1.06030326887316</v>
      </c>
      <c r="S73" s="11">
        <f>VLOOKUP(A73,[1]leaf_respiration!B:D,3,)</f>
        <v>-0.62990989588739899</v>
      </c>
      <c r="T73">
        <v>1.6433</v>
      </c>
      <c r="U73">
        <v>47.463299999999997</v>
      </c>
      <c r="V73">
        <v>0.7833</v>
      </c>
      <c r="W73">
        <v>0.86</v>
      </c>
      <c r="X73">
        <v>44.38</v>
      </c>
      <c r="Y73">
        <v>0.95</v>
      </c>
      <c r="Z73">
        <v>-31.53533333</v>
      </c>
    </row>
    <row r="74" spans="1:26">
      <c r="A74" s="11" t="s">
        <v>109</v>
      </c>
      <c r="B74" s="11" t="s">
        <v>109</v>
      </c>
      <c r="C74" s="11" t="s">
        <v>180</v>
      </c>
      <c r="D74" s="11" t="s">
        <v>220</v>
      </c>
      <c r="E74" s="11">
        <f>VLOOKUP(A74,[1]SLA!C:G,5,)</f>
        <v>141.596162790698</v>
      </c>
      <c r="F74" s="11">
        <v>726.81310360465102</v>
      </c>
      <c r="G74" s="11">
        <f>VLOOKUP(A74,[1]DBH_H!B:D,3,)</f>
        <v>11.6</v>
      </c>
      <c r="H74" s="11">
        <f>VLOOKUP(A74,[1]DBH_H!B:C,2,)</f>
        <v>25.9</v>
      </c>
      <c r="I74" s="6">
        <f>VLOOKUP(A74,'[1]root data'!B:J,9,)</f>
        <v>0.28676470588235292</v>
      </c>
      <c r="J74" s="6">
        <f>VLOOKUP(A74,'[1]root data'!B:K,10,)</f>
        <v>10.6955456299053</v>
      </c>
      <c r="K74" s="6">
        <f>VLOOKUP(A74,'[1]root data'!B:L,11,)</f>
        <v>9.8797593722579293</v>
      </c>
      <c r="L74" s="6">
        <f>VLOOKUP(A74,'[1]root data'!B:M,12,)</f>
        <v>0.42399999999999999</v>
      </c>
      <c r="M74" s="6">
        <f>VLOOKUP(A74,'[1]root data'!B:Q,16,)</f>
        <v>28.119230769230771</v>
      </c>
      <c r="N74" s="6">
        <f>VLOOKUP(A74,'[1]root data'!B:R,17,)</f>
        <v>372.15846153846155</v>
      </c>
      <c r="O74" s="6">
        <f>VLOOKUP(A74,'[1]root data'!B:S,18,)</f>
        <v>0.22383690898446917</v>
      </c>
      <c r="P74" s="11">
        <f>VLOOKUP(A74,[1]leaf_photosynthesis!B:C,2,)</f>
        <v>5.2838079660000004</v>
      </c>
      <c r="Q74" s="11">
        <f>VLOOKUP(A74,[1]leaf_photosynthesis!B:D,3,)</f>
        <v>21.122238367233567</v>
      </c>
      <c r="R74" s="11">
        <f>VLOOKUP(A74,[1]leaf_respiration!B:C,2,)</f>
        <v>-1.1205793000727</v>
      </c>
      <c r="S74" s="11">
        <f>VLOOKUP(A74,[1]leaf_respiration!B:D,3,)</f>
        <v>-0.44524877797359202</v>
      </c>
      <c r="T74">
        <v>1.76</v>
      </c>
      <c r="U74">
        <v>44.64</v>
      </c>
      <c r="V74">
        <v>0.75</v>
      </c>
      <c r="W74">
        <v>0.91</v>
      </c>
      <c r="X74">
        <v>45.53</v>
      </c>
      <c r="Y74">
        <v>0.48</v>
      </c>
      <c r="Z74">
        <v>-32.933999999999997</v>
      </c>
    </row>
    <row r="75" spans="1:26">
      <c r="A75" s="11" t="s">
        <v>110</v>
      </c>
      <c r="B75" s="11" t="s">
        <v>110</v>
      </c>
      <c r="C75" s="11" t="s">
        <v>181</v>
      </c>
      <c r="D75" s="11" t="s">
        <v>221</v>
      </c>
      <c r="E75" s="11">
        <f>VLOOKUP(A75,[1]SLA!C:G,5,)</f>
        <v>291.95390243902398</v>
      </c>
      <c r="F75" s="11">
        <v>1047.53060195122</v>
      </c>
      <c r="G75" s="11">
        <f>VLOOKUP(A75,[1]DBH_H!B:D,3,)</f>
        <v>8.5</v>
      </c>
      <c r="H75" s="11">
        <f>VLOOKUP(A75,[1]DBH_H!B:C,2,)</f>
        <v>8</v>
      </c>
      <c r="I75" s="6">
        <f>VLOOKUP(A75,'[1]root data'!B:J,9,)</f>
        <v>0.32420591456736036</v>
      </c>
      <c r="J75" s="6">
        <f>VLOOKUP(A75,'[1]root data'!B:K,10,)</f>
        <v>9.3610047505253196</v>
      </c>
      <c r="K75" s="6">
        <f>VLOOKUP(A75,'[1]root data'!B:L,11,)</f>
        <v>8.3262738730344701</v>
      </c>
      <c r="L75" s="6">
        <f>VLOOKUP(A75,'[1]root data'!B:M,12,)</f>
        <v>0.44600000000000001</v>
      </c>
      <c r="M75" s="6">
        <f>VLOOKUP(A75,'[1]root data'!B:Q,16,)</f>
        <v>18.716520270270269</v>
      </c>
      <c r="N75" s="6">
        <f>VLOOKUP(A75,'[1]root data'!B:R,17,)</f>
        <v>264.86317567567568</v>
      </c>
      <c r="O75" s="6">
        <f>VLOOKUP(A75,'[1]root data'!B:S,18,)</f>
        <v>0.27805698289385927</v>
      </c>
      <c r="P75" s="11">
        <f>VLOOKUP(A75,[1]leaf_photosynthesis!B:C,2,)</f>
        <v>4.6748568216666664</v>
      </c>
      <c r="Q75" s="11">
        <f>VLOOKUP(A75,[1]leaf_photosynthesis!B:D,3,)</f>
        <v>16.048711468353432</v>
      </c>
      <c r="R75" s="11">
        <f>VLOOKUP(A75,[1]leaf_respiration!B:C,2,)</f>
        <v>-0.99107478299863705</v>
      </c>
      <c r="S75" s="11">
        <f>VLOOKUP(A75,[1]leaf_respiration!B:D,3,)</f>
        <v>-0.27058378332006</v>
      </c>
      <c r="T75">
        <v>2.2000000000000002</v>
      </c>
      <c r="U75">
        <v>44.96</v>
      </c>
      <c r="V75">
        <v>1.28</v>
      </c>
      <c r="W75">
        <v>0.84</v>
      </c>
      <c r="X75">
        <v>46.9</v>
      </c>
      <c r="Y75">
        <v>0.81</v>
      </c>
      <c r="Z75">
        <v>-34.978999999999999</v>
      </c>
    </row>
    <row r="76" spans="1:26">
      <c r="A76" s="11" t="s">
        <v>111</v>
      </c>
      <c r="B76" s="11" t="s">
        <v>111</v>
      </c>
      <c r="C76" s="11" t="s">
        <v>158</v>
      </c>
      <c r="D76" s="11" t="s">
        <v>197</v>
      </c>
      <c r="E76" s="11">
        <f>VLOOKUP(A76,[1]SLA!C:G,5,)</f>
        <v>161.84088983050799</v>
      </c>
      <c r="F76" s="11"/>
      <c r="G76" s="11">
        <f>VLOOKUP(A76,[1]DBH_H!B:D,3,)</f>
        <v>17</v>
      </c>
      <c r="H76" s="11">
        <f>VLOOKUP(A76,[1]DBH_H!B:C,2,)</f>
        <v>28</v>
      </c>
      <c r="I76" s="6">
        <f>VLOOKUP(A76,'[1]root data'!B:J,9,)</f>
        <v>0.45665961945031713</v>
      </c>
      <c r="J76" s="6">
        <f>VLOOKUP(A76,'[1]root data'!B:K,10,)</f>
        <v>8.5319640518600792</v>
      </c>
      <c r="K76" s="6">
        <f>VLOOKUP(A76,'[1]root data'!B:L,11,)</f>
        <v>8.5010305972104803</v>
      </c>
      <c r="L76" s="6">
        <f>VLOOKUP(A76,'[1]root data'!B:M,12,)</f>
        <v>0.28999999999999998</v>
      </c>
      <c r="M76" s="6">
        <f>VLOOKUP(A76,'[1]root data'!B:Q,16,)</f>
        <v>39.696851851851847</v>
      </c>
      <c r="N76" s="6">
        <f>VLOOKUP(A76,'[1]root data'!B:R,17,)</f>
        <v>360.09398148148148</v>
      </c>
      <c r="O76" s="6">
        <f>VLOOKUP(A76,'[1]root data'!B:S,18,)</f>
        <v>0.33193490387718416</v>
      </c>
      <c r="P76" s="11">
        <f>VLOOKUP(A76,[1]leaf_photosynthesis!B:C,2,)</f>
        <v>3.306872927666666</v>
      </c>
      <c r="Q76" s="11">
        <f>VLOOKUP(A76,[1]leaf_photosynthesis!B:D,3,)</f>
        <v>14.013321747253235</v>
      </c>
      <c r="R76" s="11">
        <f>VLOOKUP(A76,[1]leaf_respiration!B:C,2,)</f>
        <v>-0.63308624283231396</v>
      </c>
      <c r="S76" s="11">
        <f>VLOOKUP(A76,[1]leaf_respiration!B:D,3,)</f>
        <v>-0.178698423405806</v>
      </c>
      <c r="T76">
        <v>1.25</v>
      </c>
      <c r="U76">
        <v>46.65</v>
      </c>
      <c r="V76">
        <v>0.52</v>
      </c>
      <c r="W76">
        <v>1.1000000000000001</v>
      </c>
      <c r="X76">
        <v>47.99</v>
      </c>
      <c r="Y76">
        <v>0.81</v>
      </c>
      <c r="Z76">
        <v>-32.655999999999999</v>
      </c>
    </row>
    <row r="77" spans="1:26">
      <c r="A77" s="11" t="s">
        <v>112</v>
      </c>
      <c r="B77" s="11" t="s">
        <v>112</v>
      </c>
      <c r="C77" s="11" t="s">
        <v>182</v>
      </c>
      <c r="D77" s="11" t="s">
        <v>222</v>
      </c>
      <c r="E77" s="11">
        <f>VLOOKUP(A77,[1]SLA!C:G,5,)</f>
        <v>85.033732364258199</v>
      </c>
      <c r="F77" s="11">
        <v>1386.8151411286899</v>
      </c>
      <c r="G77" s="11">
        <f>VLOOKUP(A77,[1]DBH_H!B:D,3,)</f>
        <v>15</v>
      </c>
      <c r="H77" s="11">
        <f>VLOOKUP(A77,[1]DBH_H!B:C,2,)</f>
        <v>34</v>
      </c>
      <c r="I77" s="6">
        <f>VLOOKUP(A77,'[1]root data'!B:J,9,)</f>
        <v>0.42178217821782177</v>
      </c>
      <c r="J77" s="6">
        <f>VLOOKUP(A77,'[1]root data'!B:K,10,)</f>
        <v>10.4565771791787</v>
      </c>
      <c r="K77" s="6">
        <f>VLOOKUP(A77,'[1]root data'!B:L,11,)</f>
        <v>10.0180016570711</v>
      </c>
      <c r="L77" s="6">
        <f>VLOOKUP(A77,'[1]root data'!B:M,12,)</f>
        <v>0.32200000000000001</v>
      </c>
      <c r="M77" s="6">
        <f>VLOOKUP(A77,'[1]root data'!B:Q,16,)</f>
        <v>34.704835680751174</v>
      </c>
      <c r="N77" s="6">
        <f>VLOOKUP(A77,'[1]root data'!B:R,17,)</f>
        <v>349.46713615023475</v>
      </c>
      <c r="O77" s="6">
        <f>VLOOKUP(A77,'[1]root data'!B:S,18,)</f>
        <v>0.30750573866343284</v>
      </c>
      <c r="P77" s="11">
        <f>VLOOKUP(A77,[1]leaf_photosynthesis!B:C,2,)</f>
        <v>1.779349496</v>
      </c>
      <c r="Q77" s="11">
        <f>VLOOKUP(A77,[1]leaf_photosynthesis!B:D,3,)</f>
        <v>6.5663330162578699</v>
      </c>
      <c r="R77" s="11">
        <f>VLOOKUP(A77,[1]leaf_respiration!B:C,2,)</f>
        <v>-0.94018885924954598</v>
      </c>
      <c r="S77" s="11">
        <f>VLOOKUP(A77,[1]leaf_respiration!B:D,3,)</f>
        <v>-0.76457361414343805</v>
      </c>
      <c r="T77">
        <v>1.42</v>
      </c>
      <c r="U77">
        <v>47.16</v>
      </c>
      <c r="V77">
        <v>0.68</v>
      </c>
      <c r="W77">
        <v>1.37</v>
      </c>
      <c r="X77">
        <v>49.64</v>
      </c>
      <c r="Y77">
        <v>0.67</v>
      </c>
      <c r="Z77">
        <v>-29.869</v>
      </c>
    </row>
    <row r="78" spans="1:26">
      <c r="A78" s="11" t="s">
        <v>113</v>
      </c>
      <c r="B78" s="11" t="s">
        <v>113</v>
      </c>
      <c r="C78" s="11" t="s">
        <v>165</v>
      </c>
      <c r="D78" s="11" t="s">
        <v>205</v>
      </c>
      <c r="E78" s="11">
        <f>VLOOKUP(A78,[1]SLA!C:G,5,)</f>
        <v>109.372899728997</v>
      </c>
      <c r="F78" s="11">
        <v>826.96849485094901</v>
      </c>
      <c r="G78" s="11">
        <f>VLOOKUP(A78,[1]DBH_H!B:D,3,)</f>
        <v>2.6</v>
      </c>
      <c r="H78" s="11">
        <f>VLOOKUP(A78,[1]DBH_H!B:C,2,)</f>
        <v>2.2999999999999998</v>
      </c>
      <c r="I78" s="6">
        <f>VLOOKUP(A78,'[1]root data'!B:J,9,)</f>
        <v>0.3201024327784891</v>
      </c>
      <c r="J78" s="6">
        <f>VLOOKUP(A78,'[1]root data'!B:K,10,)</f>
        <v>5.7454742242888299</v>
      </c>
      <c r="K78" s="6">
        <f>VLOOKUP(A78,'[1]root data'!B:L,11,)</f>
        <v>5.8302047367929797</v>
      </c>
      <c r="L78" s="6">
        <f>VLOOKUP(A78,'[1]root data'!B:M,12,)</f>
        <v>0.41399999999999998</v>
      </c>
      <c r="M78" s="6">
        <f>VLOOKUP(A78,'[1]root data'!B:Q,16,)</f>
        <v>22.514119999999995</v>
      </c>
      <c r="N78" s="6">
        <f>VLOOKUP(A78,'[1]root data'!B:R,17,)</f>
        <v>292.72800000000001</v>
      </c>
      <c r="O78" s="6">
        <f>VLOOKUP(A78,'[1]root data'!B:S,18,)</f>
        <v>0.2849197665937272</v>
      </c>
      <c r="P78" s="11">
        <f>VLOOKUP(A78,[1]leaf_photosynthesis!B:C,2,)</f>
        <v>3.7685515330000001</v>
      </c>
      <c r="Q78" s="11">
        <f>VLOOKUP(A78,[1]leaf_photosynthesis!B:D,3,)</f>
        <v>14.8638416804343</v>
      </c>
      <c r="R78" s="11">
        <f>VLOOKUP(A78,[1]leaf_respiration!B:C,2,)</f>
        <v>-0.77342670008790104</v>
      </c>
      <c r="S78" s="11">
        <f>VLOOKUP(A78,[1]leaf_respiration!B:D,3,)</f>
        <v>-0.220451372564513</v>
      </c>
      <c r="T78">
        <v>1.21</v>
      </c>
      <c r="U78">
        <v>47.91</v>
      </c>
      <c r="V78">
        <v>0.9</v>
      </c>
      <c r="W78">
        <v>0.66</v>
      </c>
      <c r="X78">
        <v>47.72</v>
      </c>
      <c r="Y78">
        <v>0.95</v>
      </c>
      <c r="Z78">
        <v>-34.055999999999997</v>
      </c>
    </row>
    <row r="79" spans="1:26">
      <c r="A79" s="11" t="s">
        <v>114</v>
      </c>
      <c r="B79" s="11" t="s">
        <v>114</v>
      </c>
      <c r="C79" s="11" t="s">
        <v>183</v>
      </c>
      <c r="D79" s="11" t="s">
        <v>223</v>
      </c>
      <c r="E79" s="11">
        <f>VLOOKUP(A79,[1]SLA!C:G,5,)</f>
        <v>187.45927089027251</v>
      </c>
      <c r="F79" s="11">
        <v>183.04957577435499</v>
      </c>
      <c r="G79" s="11">
        <f>VLOOKUP(A79,[1]DBH_H!B:D,3,)</f>
        <v>3.6</v>
      </c>
      <c r="H79" s="11">
        <f>VLOOKUP(A79,[1]DBH_H!B:C,2,)</f>
        <v>3.05</v>
      </c>
      <c r="I79" s="6">
        <f>VLOOKUP(A79,'[1]root data'!B:J,9,)</f>
        <v>0.26522187822497423</v>
      </c>
      <c r="J79" s="6">
        <f>VLOOKUP(A79,'[1]root data'!B:K,10,)</f>
        <v>5.4001681678438702</v>
      </c>
      <c r="K79" s="6">
        <f>VLOOKUP(A79,'[1]root data'!B:L,11,)</f>
        <v>4.8988380178383002</v>
      </c>
      <c r="L79" s="6">
        <f>VLOOKUP(A79,'[1]root data'!B:M,12,)</f>
        <v>0.48899999999999999</v>
      </c>
      <c r="M79" s="6">
        <f>VLOOKUP(A79,'[1]root data'!B:Q,16,)</f>
        <v>21.69599221789883</v>
      </c>
      <c r="N79" s="6">
        <f>VLOOKUP(A79,'[1]root data'!B:R,17,)</f>
        <v>333.48832684824902</v>
      </c>
      <c r="O79" s="6">
        <f>VLOOKUP(A79,'[1]root data'!B:S,18,)</f>
        <v>0.2225281623676304</v>
      </c>
      <c r="P79" s="11">
        <f>VLOOKUP(A79,[1]leaf_photosynthesis!B:C,2,)</f>
        <v>3.2459121030000002</v>
      </c>
      <c r="Q79" s="11">
        <f>VLOOKUP(A79,[1]leaf_photosynthesis!B:D,3,)</f>
        <v>18.781420166310699</v>
      </c>
      <c r="R79" s="11">
        <f>VLOOKUP(A79,[1]leaf_respiration!B:C,2,)</f>
        <v>-0.78375041539897095</v>
      </c>
      <c r="S79" s="11">
        <f>VLOOKUP(A79,[1]leaf_respiration!B:D,3,)</f>
        <v>-0.36619678063209599</v>
      </c>
      <c r="T79">
        <v>1.2</v>
      </c>
      <c r="U79">
        <v>44.84</v>
      </c>
      <c r="V79">
        <v>0.6</v>
      </c>
      <c r="W79">
        <v>0.9</v>
      </c>
      <c r="X79">
        <v>46.9</v>
      </c>
      <c r="Y79">
        <v>1.1399999999999999</v>
      </c>
      <c r="Z79">
        <v>-32.694000000000003</v>
      </c>
    </row>
    <row r="80" spans="1:26">
      <c r="A80" s="11" t="s">
        <v>115</v>
      </c>
      <c r="B80" s="11" t="s">
        <v>115</v>
      </c>
      <c r="C80" s="11" t="s">
        <v>184</v>
      </c>
      <c r="D80" s="11" t="s">
        <v>224</v>
      </c>
      <c r="E80" s="11">
        <f>VLOOKUP(A80,[1]SLA!C:G,5,)</f>
        <v>203.679518072289</v>
      </c>
      <c r="F80" s="11">
        <v>794.96115903614498</v>
      </c>
      <c r="G80" s="11">
        <f>VLOOKUP(A80,[1]DBH_H!B:D,3,)</f>
        <v>1.6</v>
      </c>
      <c r="H80" s="11">
        <f>VLOOKUP(A80,[1]DBH_H!B:C,2,)</f>
        <v>1.92</v>
      </c>
      <c r="I80" s="6">
        <f>VLOOKUP(A80,'[1]root data'!B:J,9,)</f>
        <v>0.33731343283582088</v>
      </c>
      <c r="J80" s="6">
        <f>VLOOKUP(A80,'[1]root data'!B:K,10,)</f>
        <v>15.363023175054099</v>
      </c>
      <c r="K80" s="6">
        <f>VLOOKUP(A80,'[1]root data'!B:L,11,)</f>
        <v>14.616230276171599</v>
      </c>
      <c r="L80" s="6">
        <f>VLOOKUP(A80,'[1]root data'!B:M,12,)</f>
        <v>0.29799999999999999</v>
      </c>
      <c r="M80" s="6">
        <f>VLOOKUP(A80,'[1]root data'!B:Q,16,)</f>
        <v>49.960442477876107</v>
      </c>
      <c r="N80" s="6">
        <f>VLOOKUP(A80,'[1]root data'!B:R,17,)</f>
        <v>465.11858407079643</v>
      </c>
      <c r="O80" s="6">
        <f>VLOOKUP(A80,'[1]root data'!B:S,18,)</f>
        <v>0.23390602359759879</v>
      </c>
      <c r="P80" s="11">
        <f>VLOOKUP(A80,[1]leaf_photosynthesis!B:C,2,)</f>
        <v>1.9778435703333335</v>
      </c>
      <c r="Q80" s="11">
        <f>VLOOKUP(A80,[1]leaf_photosynthesis!B:D,3,)</f>
        <v>6.617345137639866</v>
      </c>
      <c r="R80" s="11">
        <f>VLOOKUP(A80,[1]leaf_respiration!B:C,2,)</f>
        <v>-0.34246563765424098</v>
      </c>
      <c r="S80" s="11">
        <f>VLOOKUP(A80,[1]leaf_respiration!B:D,3,)</f>
        <v>0.109549347144723</v>
      </c>
      <c r="T80">
        <v>1.55</v>
      </c>
      <c r="U80">
        <v>49.78</v>
      </c>
      <c r="V80">
        <v>0.54</v>
      </c>
      <c r="W80">
        <v>1.04</v>
      </c>
      <c r="X80">
        <v>42.27</v>
      </c>
      <c r="Y80">
        <v>0.91</v>
      </c>
      <c r="Z80">
        <v>-37.387</v>
      </c>
    </row>
    <row r="81" spans="1:26">
      <c r="A81" s="11" t="s">
        <v>116</v>
      </c>
      <c r="B81" s="11" t="s">
        <v>116</v>
      </c>
      <c r="C81" s="11" t="s">
        <v>169</v>
      </c>
      <c r="D81" s="11" t="s">
        <v>209</v>
      </c>
      <c r="E81" s="11">
        <f>VLOOKUP(A81,[1]SLA!C:G,5,)</f>
        <v>216.767173913043</v>
      </c>
      <c r="F81" s="11">
        <v>1727.6343760869599</v>
      </c>
      <c r="G81" s="11">
        <f>VLOOKUP(A81,[1]DBH_H!B:D,3,)</f>
        <v>2.2999999999999998</v>
      </c>
      <c r="H81" s="11">
        <f>VLOOKUP(A81,[1]DBH_H!B:C,2,)</f>
        <v>2.8</v>
      </c>
      <c r="I81" s="6">
        <f>VLOOKUP(A81,'[1]root data'!B:J,9,)</f>
        <v>0.34520547945205482</v>
      </c>
      <c r="J81" s="6">
        <f>VLOOKUP(A81,'[1]root data'!B:K,10,)</f>
        <v>10.3871719801902</v>
      </c>
      <c r="K81" s="6">
        <f>VLOOKUP(A81,'[1]root data'!B:L,11,)</f>
        <v>9.7801112826355503</v>
      </c>
      <c r="L81" s="6">
        <f>VLOOKUP(A81,'[1]root data'!B:M,12,)</f>
        <v>0.313</v>
      </c>
      <c r="M81" s="6">
        <f>VLOOKUP(A81,'[1]root data'!B:Q,16,)</f>
        <v>34.009365079365075</v>
      </c>
      <c r="N81" s="6">
        <f>VLOOKUP(A81,'[1]root data'!B:R,17,)</f>
        <v>333.18809523809523</v>
      </c>
      <c r="O81" s="6">
        <f>VLOOKUP(A81,'[1]root data'!B:S,18,)</f>
        <v>0.32066780342554652</v>
      </c>
      <c r="P81" s="11">
        <f>VLOOKUP(A81,[1]leaf_photosynthesis!B:C,2,)</f>
        <v>2.883208818</v>
      </c>
      <c r="Q81" s="11">
        <f>VLOOKUP(A81,[1]leaf_photosynthesis!B:D,3,)</f>
        <v>10.205257999897329</v>
      </c>
      <c r="R81" s="11">
        <f>VLOOKUP(A81,[1]leaf_respiration!B:C,2,)</f>
        <v>-0.61071828193361799</v>
      </c>
      <c r="S81" s="11">
        <f>VLOOKUP(A81,[1]leaf_respiration!B:D,3,)</f>
        <v>-0.2243</v>
      </c>
      <c r="T81">
        <v>1.21</v>
      </c>
      <c r="U81">
        <v>40.840000000000003</v>
      </c>
      <c r="V81">
        <v>0.69</v>
      </c>
      <c r="W81">
        <v>0.48</v>
      </c>
      <c r="X81">
        <v>46.59</v>
      </c>
      <c r="Y81">
        <v>0.41</v>
      </c>
      <c r="Z81">
        <v>-34.524999999999999</v>
      </c>
    </row>
    <row r="82" spans="1:26">
      <c r="A82" s="11" t="s">
        <v>117</v>
      </c>
      <c r="B82" s="11" t="s">
        <v>117</v>
      </c>
      <c r="C82" s="11" t="s">
        <v>185</v>
      </c>
      <c r="D82" s="11" t="s">
        <v>225</v>
      </c>
      <c r="E82" s="11">
        <f>VLOOKUP(A82,[1]SLA!C:G,5,)</f>
        <v>142.751930559713</v>
      </c>
      <c r="F82" s="11">
        <v>1492.04317821012</v>
      </c>
      <c r="G82" s="11">
        <f>VLOOKUP(A82,[1]DBH_H!B:D,3,)</f>
        <v>6</v>
      </c>
      <c r="H82" s="11">
        <f>VLOOKUP(A82,[1]DBH_H!B:C,2,)</f>
        <v>4</v>
      </c>
      <c r="I82" s="6">
        <f>VLOOKUP(A82,'[1]root data'!B:J,9,)</f>
        <v>0.23337950138504154</v>
      </c>
      <c r="J82" s="6">
        <f>VLOOKUP(A82,'[1]root data'!B:K,10,)</f>
        <v>10.084749126500901</v>
      </c>
      <c r="K82" s="6">
        <f>VLOOKUP(A82,'[1]root data'!B:L,11,)</f>
        <v>8.9121320920660292</v>
      </c>
      <c r="L82" s="6">
        <f>VLOOKUP(A82,'[1]root data'!B:M,12,)</f>
        <v>0.65800000000000003</v>
      </c>
      <c r="M82" s="6">
        <f>VLOOKUP(A82,'[1]root data'!B:Q,16,)</f>
        <v>13.564154302670623</v>
      </c>
      <c r="N82" s="6">
        <f>VLOOKUP(A82,'[1]root data'!B:R,17,)</f>
        <v>280.19643916913947</v>
      </c>
      <c r="O82" s="6">
        <f>VLOOKUP(A82,'[1]root data'!B:S,18,)</f>
        <v>0.20229912657202029</v>
      </c>
      <c r="P82" s="11">
        <f>VLOOKUP(A82,[1]leaf_photosynthesis!B:C,2,)</f>
        <v>2.7233393193333337</v>
      </c>
      <c r="Q82" s="11">
        <f>VLOOKUP(A82,[1]leaf_photosynthesis!B:D,3,)</f>
        <v>11.773422536646066</v>
      </c>
      <c r="R82" s="11">
        <f>VLOOKUP(A82,[1]leaf_respiration!B:C,2,)</f>
        <v>-0.86734360629882701</v>
      </c>
      <c r="S82" s="11">
        <f>VLOOKUP(A82,[1]leaf_respiration!B:D,3,)</f>
        <v>-3.94940667986443E-4</v>
      </c>
      <c r="T82">
        <v>1.7</v>
      </c>
      <c r="U82">
        <v>47.69</v>
      </c>
      <c r="V82">
        <v>0.87</v>
      </c>
      <c r="W82">
        <v>2.25</v>
      </c>
      <c r="X82">
        <v>47.99</v>
      </c>
      <c r="Y82">
        <v>0.63</v>
      </c>
      <c r="Z82">
        <v>-33.838000000000001</v>
      </c>
    </row>
    <row r="83" spans="1:26">
      <c r="A83" s="11" t="s">
        <v>118</v>
      </c>
      <c r="B83" s="11" t="s">
        <v>118</v>
      </c>
      <c r="C83" s="11" t="s">
        <v>167</v>
      </c>
      <c r="D83" s="11" t="s">
        <v>207</v>
      </c>
      <c r="E83" s="11">
        <f>VLOOKUP(A83,[1]SLA!C:G,5,)</f>
        <v>178.10245298446401</v>
      </c>
      <c r="F83" s="11">
        <v>1109.57828209321</v>
      </c>
      <c r="G83" s="11">
        <f>VLOOKUP(A83,[1]DBH_H!B:D,3,)</f>
        <v>1.55</v>
      </c>
      <c r="H83" s="11">
        <f>VLOOKUP(A83,[1]DBH_H!B:C,2,)</f>
        <v>1</v>
      </c>
      <c r="I83" s="6">
        <f>VLOOKUP(A83,'[1]root data'!B:J,9,)</f>
        <v>0.30375426621160412</v>
      </c>
      <c r="J83" s="6">
        <f>VLOOKUP(A83,'[1]root data'!B:K,10,)</f>
        <v>17.1338914963852</v>
      </c>
      <c r="K83" s="6">
        <f>VLOOKUP(A83,'[1]root data'!B:L,11,)</f>
        <v>16.415252377675699</v>
      </c>
      <c r="L83" s="6">
        <f>VLOOKUP(A83,'[1]root data'!B:M,12,)</f>
        <v>0.31</v>
      </c>
      <c r="M83" s="6">
        <f>VLOOKUP(A83,'[1]root data'!B:Q,16,)</f>
        <v>53.238089887640449</v>
      </c>
      <c r="N83" s="6">
        <f>VLOOKUP(A83,'[1]root data'!B:R,17,)</f>
        <v>516.43820224719104</v>
      </c>
      <c r="O83" s="6">
        <f>VLOOKUP(A83,'[1]root data'!B:S,18,)</f>
        <v>0.20977702352331115</v>
      </c>
      <c r="P83" s="11">
        <f>VLOOKUP(A83,[1]leaf_photosynthesis!B:C,2,)</f>
        <v>2.4669937353333333</v>
      </c>
      <c r="Q83" s="11">
        <f>VLOOKUP(A83,[1]leaf_photosynthesis!B:D,3,)</f>
        <v>8.8219370241462034</v>
      </c>
      <c r="R83" s="11">
        <f>VLOOKUP(A83,[1]leaf_respiration!B:C,2,)</f>
        <v>-0.92797665396731399</v>
      </c>
      <c r="S83" s="11">
        <f>VLOOKUP(A83,[1]leaf_respiration!B:D,3,)</f>
        <v>5.5101281027752601E-2</v>
      </c>
      <c r="T83">
        <v>2.4300000000000002</v>
      </c>
      <c r="U83">
        <v>54.26</v>
      </c>
      <c r="V83">
        <v>1.17</v>
      </c>
      <c r="W83">
        <v>0.81</v>
      </c>
      <c r="X83">
        <v>44.15</v>
      </c>
      <c r="Y83">
        <v>0.59</v>
      </c>
      <c r="Z83">
        <v>-35.424999999999997</v>
      </c>
    </row>
    <row r="84" spans="1:26">
      <c r="A84" s="11" t="s">
        <v>119</v>
      </c>
      <c r="B84" s="11" t="s">
        <v>119</v>
      </c>
      <c r="C84" s="11" t="s">
        <v>186</v>
      </c>
      <c r="D84" s="11" t="s">
        <v>226</v>
      </c>
      <c r="E84" s="11">
        <f>VLOOKUP(A84,[1]SLA!C:G,5,)</f>
        <v>274.37685950413203</v>
      </c>
      <c r="F84" s="11">
        <v>958.12399338842999</v>
      </c>
      <c r="G84" s="11">
        <f>VLOOKUP(A84,[1]DBH_H!B:D,3,)</f>
        <v>1.6</v>
      </c>
      <c r="H84" s="11">
        <f>VLOOKUP(A84,[1]DBH_H!B:C,2,)</f>
        <v>2.7</v>
      </c>
      <c r="I84" s="6">
        <f>VLOOKUP(A84,'[1]root data'!B:J,9,)</f>
        <v>0.34772727272727272</v>
      </c>
      <c r="J84" s="6">
        <f>VLOOKUP(A84,'[1]root data'!B:K,10,)</f>
        <v>12.7642435325901</v>
      </c>
      <c r="K84" s="6">
        <f>VLOOKUP(A84,'[1]root data'!B:L,11,)</f>
        <v>11.774742740246101</v>
      </c>
      <c r="L84" s="6">
        <f>VLOOKUP(A84,'[1]root data'!B:M,12,)</f>
        <v>0.39700000000000002</v>
      </c>
      <c r="M84" s="6">
        <f>VLOOKUP(A84,'[1]root data'!B:Q,16,)</f>
        <v>32.310326797385621</v>
      </c>
      <c r="N84" s="6">
        <f>VLOOKUP(A84,'[1]root data'!B:R,17,)</f>
        <v>401.21633986928106</v>
      </c>
      <c r="O84" s="6">
        <f>VLOOKUP(A84,'[1]root data'!B:S,18,)</f>
        <v>0.21478507454305529</v>
      </c>
      <c r="P84" s="11">
        <f>VLOOKUP(A84,[1]leaf_photosynthesis!B:C,2,)</f>
        <v>1.779349496</v>
      </c>
      <c r="Q84" s="11">
        <f>VLOOKUP(A84,[1]leaf_photosynthesis!B:D,3,)</f>
        <v>6.5663330156031199</v>
      </c>
      <c r="R84" s="11">
        <f>VLOOKUP(A84,[1]leaf_respiration!B:C,2,)</f>
        <v>-0.758458489134333</v>
      </c>
      <c r="S84" s="11">
        <f>VLOOKUP(A84,[1]leaf_respiration!B:D,3,)</f>
        <v>0.27211515420035798</v>
      </c>
      <c r="T84">
        <v>1.52</v>
      </c>
      <c r="U84">
        <v>44.31</v>
      </c>
      <c r="V84">
        <v>1.03</v>
      </c>
      <c r="W84">
        <v>0.86</v>
      </c>
      <c r="X84">
        <v>44.86</v>
      </c>
      <c r="Y84">
        <v>0.39</v>
      </c>
      <c r="Z84">
        <v>-35.36</v>
      </c>
    </row>
    <row r="85" spans="1:26">
      <c r="A85" s="11" t="s">
        <v>120</v>
      </c>
      <c r="B85" s="11" t="s">
        <v>120</v>
      </c>
      <c r="C85" s="11" t="s">
        <v>187</v>
      </c>
      <c r="D85" s="11" t="s">
        <v>227</v>
      </c>
      <c r="E85" s="11">
        <f>VLOOKUP(A85,[1]SLA!C:G,5,)</f>
        <v>119.673660030628</v>
      </c>
      <c r="F85" s="11">
        <v>911.314921133231</v>
      </c>
      <c r="G85" s="11">
        <f>VLOOKUP(A85,[1]DBH_H!B:D,3,)</f>
        <v>2.5</v>
      </c>
      <c r="H85" s="11">
        <f>VLOOKUP(A85,[1]DBH_H!B:C,2,)</f>
        <v>1.8</v>
      </c>
      <c r="I85" s="6">
        <f>VLOOKUP(A85,'[1]root data'!B:J,9,)</f>
        <v>0.2251655629139073</v>
      </c>
      <c r="J85" s="6">
        <f>VLOOKUP(A85,'[1]root data'!B:K,10,)</f>
        <v>9.4542910725809808</v>
      </c>
      <c r="K85" s="6">
        <f>VLOOKUP(A85,'[1]root data'!B:L,11,)</f>
        <v>8.8106493659118996</v>
      </c>
      <c r="L85" s="6">
        <f>VLOOKUP(A85,'[1]root data'!B:M,12,)</f>
        <v>0.41799999999999998</v>
      </c>
      <c r="M85" s="6">
        <f>VLOOKUP(A85,'[1]root data'!B:Q,16,)</f>
        <v>35.03070588235294</v>
      </c>
      <c r="N85" s="6">
        <f>VLOOKUP(A85,'[1]root data'!B:R,17,)</f>
        <v>460.9811764705882</v>
      </c>
      <c r="O85" s="6">
        <f>VLOOKUP(A85,'[1]root data'!B:S,18,)</f>
        <v>0.18637898522124283</v>
      </c>
      <c r="P85" s="11">
        <f>VLOOKUP(A85,[1]leaf_photosynthesis!B:C,2,)</f>
        <v>2.9931048069999999</v>
      </c>
      <c r="Q85" s="11">
        <f>VLOOKUP(A85,[1]leaf_photosynthesis!B:D,3,)</f>
        <v>11.500858596463798</v>
      </c>
      <c r="R85" s="11">
        <f>VLOOKUP(A85,[1]leaf_respiration!B:C,2,)</f>
        <v>-0.81962181270351397</v>
      </c>
      <c r="S85" s="11">
        <f>VLOOKUP(A85,[1]leaf_respiration!B:D,3,)</f>
        <v>-0.23280000000000001</v>
      </c>
      <c r="T85">
        <v>1.52</v>
      </c>
      <c r="U85">
        <v>46.82</v>
      </c>
      <c r="V85">
        <v>0.66</v>
      </c>
      <c r="W85">
        <v>1.46</v>
      </c>
      <c r="X85">
        <v>40.950000000000003</v>
      </c>
      <c r="Y85">
        <v>0.89</v>
      </c>
      <c r="Z85">
        <v>-35.311</v>
      </c>
    </row>
    <row r="86" spans="1:26">
      <c r="A86" s="11" t="s">
        <v>121</v>
      </c>
      <c r="B86" s="11" t="s">
        <v>121</v>
      </c>
      <c r="C86" s="11" t="s">
        <v>188</v>
      </c>
      <c r="D86" s="11" t="s">
        <v>228</v>
      </c>
      <c r="E86" s="11">
        <f>VLOOKUP(A86,[1]SLA!C:G,5,)</f>
        <v>198.31522123893799</v>
      </c>
      <c r="F86" s="11">
        <v>848.39251646017703</v>
      </c>
      <c r="G86" s="11">
        <f>VLOOKUP(A86,[1]DBH_H!B:D,3,)</f>
        <v>3.8</v>
      </c>
      <c r="H86" s="11">
        <f>VLOOKUP(A86,[1]DBH_H!B:C,2,)</f>
        <v>1.9</v>
      </c>
      <c r="I86" s="6">
        <f>VLOOKUP(A86,'[1]root data'!B:J,9,)</f>
        <v>0.27734976887519258</v>
      </c>
      <c r="J86" s="6">
        <f>VLOOKUP(A86,'[1]root data'!B:K,10,)</f>
        <v>3.2710336193257499</v>
      </c>
      <c r="K86" s="6">
        <f>VLOOKUP(A86,'[1]root data'!B:L,11,)</f>
        <v>3.0174588305148999</v>
      </c>
      <c r="L86" s="6">
        <f>VLOOKUP(A86,'[1]root data'!B:M,12,)</f>
        <v>0.36099999999999999</v>
      </c>
      <c r="M86" s="6">
        <f>VLOOKUP(A86,'[1]root data'!B:Q,16,)</f>
        <v>47.946222222222225</v>
      </c>
      <c r="N86" s="6">
        <f>VLOOKUP(A86,'[1]root data'!B:R,17,)</f>
        <v>538.66888888888889</v>
      </c>
      <c r="O86" s="6">
        <f>VLOOKUP(A86,'[1]root data'!B:S,18,)</f>
        <v>0.1752745968684272</v>
      </c>
      <c r="P86" s="11">
        <f>VLOOKUP(A86,[1]leaf_photosynthesis!B:C,2,)</f>
        <v>3.6347736079999997</v>
      </c>
      <c r="Q86" s="11">
        <f>VLOOKUP(A86,[1]leaf_photosynthesis!B:D,3,)</f>
        <v>14.477364596698493</v>
      </c>
      <c r="R86" s="11">
        <f>VLOOKUP(A86,[1]leaf_respiration!B:C,2,)</f>
        <v>-0.53593386613771798</v>
      </c>
      <c r="S86" s="11">
        <f>VLOOKUP(A86,[1]leaf_respiration!B:D,3,)</f>
        <v>0.18857014262291599</v>
      </c>
      <c r="T86">
        <v>1.59</v>
      </c>
      <c r="U86">
        <v>46.34</v>
      </c>
      <c r="V86">
        <v>0.88</v>
      </c>
      <c r="W86">
        <v>1.35</v>
      </c>
      <c r="X86">
        <v>39.65</v>
      </c>
      <c r="Y86">
        <v>0.51</v>
      </c>
      <c r="Z86">
        <v>-32.552999999999997</v>
      </c>
    </row>
    <row r="87" spans="1:26">
      <c r="A87" s="11" t="s">
        <v>122</v>
      </c>
      <c r="B87" s="11" t="s">
        <v>122</v>
      </c>
      <c r="C87" s="11" t="s">
        <v>189</v>
      </c>
      <c r="D87" s="11" t="s">
        <v>229</v>
      </c>
      <c r="E87" s="11">
        <f>VLOOKUP(A87,[1]SLA!C:G,5,)</f>
        <v>168.87609618104699</v>
      </c>
      <c r="F87" s="11">
        <v>707.25309080622401</v>
      </c>
      <c r="G87" s="11">
        <f>VLOOKUP(A87,[1]DBH_H!B:D,3,)</f>
        <v>3</v>
      </c>
      <c r="H87" s="11">
        <f>VLOOKUP(A87,[1]DBH_H!B:C,2,)</f>
        <v>2.2999999999999998</v>
      </c>
      <c r="I87" s="6">
        <f>VLOOKUP(A87,'[1]root data'!B:J,9,)</f>
        <v>0.26705653021442499</v>
      </c>
      <c r="J87" s="6">
        <f>VLOOKUP(A87,'[1]root data'!B:K,10,)</f>
        <v>3.26154357903954</v>
      </c>
      <c r="K87" s="6">
        <f>VLOOKUP(A87,'[1]root data'!B:L,11,)</f>
        <v>3.4884663031182002</v>
      </c>
      <c r="L87" s="6">
        <f>VLOOKUP(A87,'[1]root data'!B:M,12,)</f>
        <v>0.32600000000000001</v>
      </c>
      <c r="M87" s="6">
        <f>VLOOKUP(A87,'[1]root data'!B:Q,16,)</f>
        <v>54.233284671532843</v>
      </c>
      <c r="N87" s="6">
        <f>VLOOKUP(A87,'[1]root data'!B:R,17,)</f>
        <v>553.93430656934299</v>
      </c>
      <c r="O87" s="6">
        <f>VLOOKUP(A87,'[1]root data'!B:S,18,)</f>
        <v>0.1941499914970807</v>
      </c>
      <c r="P87" s="11">
        <f>VLOOKUP(A87,[1]leaf_photosynthesis!B:C,2,)</f>
        <v>3.0203518166666665</v>
      </c>
      <c r="Q87" s="11">
        <f>VLOOKUP(A87,[1]leaf_photosynthesis!B:D,3,)</f>
        <v>10.36018348668725</v>
      </c>
      <c r="R87" s="11">
        <f>VLOOKUP(A87,[1]leaf_respiration!B:C,2,)</f>
        <v>-0.49792302777444702</v>
      </c>
      <c r="S87" s="11">
        <f>VLOOKUP(A87,[1]leaf_respiration!B:D,3,)</f>
        <v>0.46469412546097899</v>
      </c>
      <c r="T87">
        <v>1.84</v>
      </c>
      <c r="U87">
        <v>47.81</v>
      </c>
      <c r="V87">
        <v>1.0900000000000001</v>
      </c>
      <c r="W87">
        <v>1.03</v>
      </c>
      <c r="X87">
        <v>43.14</v>
      </c>
      <c r="Y87">
        <v>0.48</v>
      </c>
      <c r="Z87">
        <v>-35.241999999999997</v>
      </c>
    </row>
    <row r="88" spans="1:26">
      <c r="A88" s="11" t="s">
        <v>123</v>
      </c>
      <c r="B88" s="11" t="s">
        <v>123</v>
      </c>
      <c r="C88" s="11" t="s">
        <v>190</v>
      </c>
      <c r="D88" s="11" t="s">
        <v>230</v>
      </c>
      <c r="E88" s="11">
        <f>VLOOKUP(A88,[1]SLA!C:G,5,)</f>
        <v>174.45183946488299</v>
      </c>
      <c r="F88" s="11">
        <v>724.84739297658905</v>
      </c>
      <c r="G88" s="11">
        <f>VLOOKUP(A88,[1]DBH_H!B:D,3,)</f>
        <v>0.5</v>
      </c>
      <c r="H88" s="11">
        <f>VLOOKUP(A88,[1]DBH_H!B:C,2,)</f>
        <v>5</v>
      </c>
      <c r="I88" s="6">
        <f>VLOOKUP(A88,'[1]root data'!B:J,9,)</f>
        <v>0</v>
      </c>
      <c r="J88" s="6">
        <f>VLOOKUP(A88,'[1]root data'!B:K,10,)</f>
        <v>0</v>
      </c>
      <c r="K88" s="6">
        <f>VLOOKUP(A88,'[1]root data'!B:L,11,)</f>
        <v>0</v>
      </c>
      <c r="L88" s="6">
        <f>VLOOKUP(A88,'[1]root data'!B:M,12,)</f>
        <v>0</v>
      </c>
      <c r="M88" s="6">
        <f>VLOOKUP(A88,'[1]root data'!B:Q,16,)</f>
        <v>0</v>
      </c>
      <c r="N88" s="6">
        <f>VLOOKUP(A88,'[1]root data'!B:R,17,)</f>
        <v>0</v>
      </c>
      <c r="O88" s="6">
        <f>VLOOKUP(A88,'[1]root data'!B:S,18,)</f>
        <v>0</v>
      </c>
      <c r="P88" s="11">
        <f>VLOOKUP(A88,[1]leaf_photosynthesis!B:C,2,)</f>
        <v>3.9419241876666669</v>
      </c>
      <c r="Q88" s="11">
        <f>VLOOKUP(A88,[1]leaf_photosynthesis!B:D,3,)</f>
        <v>15.3011638232437</v>
      </c>
      <c r="R88" s="11">
        <f>VLOOKUP(A88,[1]leaf_respiration!B:C,2,)</f>
        <v>-0.84095018758323203</v>
      </c>
      <c r="S88" s="11">
        <f>VLOOKUP(A88,[1]leaf_respiration!B:D,3,)</f>
        <v>-0.43813453783876199</v>
      </c>
      <c r="T88">
        <v>1.66</v>
      </c>
      <c r="U88">
        <v>46.16</v>
      </c>
      <c r="V88">
        <v>0.83</v>
      </c>
      <c r="Z88">
        <v>-33.664000000000001</v>
      </c>
    </row>
    <row r="89" spans="1:26">
      <c r="A89" s="11" t="s">
        <v>124</v>
      </c>
      <c r="B89" s="11" t="s">
        <v>124</v>
      </c>
      <c r="C89" s="11" t="s">
        <v>191</v>
      </c>
      <c r="D89" s="11" t="s">
        <v>231</v>
      </c>
      <c r="E89" s="11">
        <f>VLOOKUP(A89,[1]SLA!C:G,5,)</f>
        <v>167.142313546423</v>
      </c>
      <c r="F89" s="11">
        <v>878.16571537290599</v>
      </c>
      <c r="G89" s="11">
        <f>VLOOKUP(A89,[1]DBH_H!B:D,3,)</f>
        <v>3.2</v>
      </c>
      <c r="H89" s="11">
        <f>VLOOKUP(A89,[1]DBH_H!B:C,2,)</f>
        <v>1.4</v>
      </c>
      <c r="I89" s="6">
        <f>VLOOKUP(A89,'[1]root data'!B:J,9,)</f>
        <v>0.19915611814345993</v>
      </c>
      <c r="J89" s="6">
        <f>VLOOKUP(A89,'[1]root data'!B:K,10,)</f>
        <v>11.091596776091601</v>
      </c>
      <c r="K89" s="6">
        <f>VLOOKUP(A89,'[1]root data'!B:L,11,)</f>
        <v>10.648767049467001</v>
      </c>
      <c r="L89" s="6">
        <f>VLOOKUP(A89,'[1]root data'!B:M,12,)</f>
        <v>0.71899999999999997</v>
      </c>
      <c r="M89" s="6">
        <f>VLOOKUP(A89,'[1]root data'!B:Q,16,)</f>
        <v>13.124788135593221</v>
      </c>
      <c r="N89" s="6">
        <f>VLOOKUP(A89,'[1]root data'!B:R,17,)</f>
        <v>297.23983050847454</v>
      </c>
      <c r="O89" s="6">
        <f>VLOOKUP(A89,'[1]root data'!B:S,18,)</f>
        <v>0.17553385348873532</v>
      </c>
      <c r="P89" s="11">
        <f>VLOOKUP(A89,[1]leaf_photosynthesis!B:C,2,)</f>
        <v>3.2161888580000002</v>
      </c>
      <c r="Q89" s="11">
        <f>VLOOKUP(A89,[1]leaf_photosynthesis!B:D,3,)</f>
        <v>14.9682180212872</v>
      </c>
      <c r="R89" s="11">
        <f>VLOOKUP(A89,[1]leaf_respiration!B:C,2,)</f>
        <v>-0.73321163664933797</v>
      </c>
      <c r="S89" s="11">
        <f>VLOOKUP(A89,[1]leaf_respiration!B:D,3,)</f>
        <v>-0.53892538137387203</v>
      </c>
      <c r="T89">
        <v>1.91</v>
      </c>
      <c r="U89">
        <v>47.5</v>
      </c>
      <c r="V89">
        <v>1.33</v>
      </c>
      <c r="W89">
        <v>3.08</v>
      </c>
      <c r="X89">
        <v>46.84</v>
      </c>
      <c r="Y89">
        <v>0.65</v>
      </c>
      <c r="Z89">
        <v>-34.57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Yuzhi Zhu</dc:creator>
  <cp:lastModifiedBy>Yuzhi Zhu</cp:lastModifiedBy>
  <dcterms:created xsi:type="dcterms:W3CDTF">2024-08-25T03:01:14Z</dcterms:created>
  <dcterms:modified xsi:type="dcterms:W3CDTF">2026-02-03T08:46:50Z</dcterms:modified>
</cp:coreProperties>
</file>